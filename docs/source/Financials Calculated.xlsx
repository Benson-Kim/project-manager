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urto\Documents\Custom Solution Fiverr\Pramod\"/>
    </mc:Choice>
  </mc:AlternateContent>
  <xr:revisionPtr revIDLastSave="0" documentId="13_ncr:1_{81C6A343-23CC-46AA-8ECF-540279F2DDC8}" xr6:coauthVersionLast="47" xr6:coauthVersionMax="47" xr10:uidLastSave="{00000000-0000-0000-0000-000000000000}"/>
  <bookViews>
    <workbookView xWindow="-24398" yWindow="-3967" windowWidth="24496" windowHeight="15674" tabRatio="608" activeTab="2" xr2:uid="{00000000-000D-0000-FFFF-FFFF00000000}"/>
  </bookViews>
  <sheets>
    <sheet name="Parameters " sheetId="4" r:id="rId1"/>
    <sheet name="Budget Execution" sheetId="15" r:id="rId2"/>
    <sheet name="Monitoring execution budget  " sheetId="14" r:id="rId3"/>
  </sheets>
  <definedNames>
    <definedName name="_xlnm.Print_Titles" localSheetId="2">'Monitoring execution budget  '!$2:$4</definedName>
    <definedName name="Reponse">'Parameters '!$B$4:$B$5</definedName>
    <definedName name="RHInternes" localSheetId="1">#REF!</definedName>
    <definedName name="RHInternes" localSheetId="2">#REF!</definedName>
    <definedName name="RHIntern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" i="14" l="1"/>
  <c r="C189" i="14" l="1"/>
  <c r="C180" i="14"/>
  <c r="C171" i="14"/>
  <c r="C162" i="14"/>
  <c r="C153" i="14"/>
  <c r="C142" i="14"/>
  <c r="C133" i="14"/>
  <c r="C124" i="14"/>
  <c r="C115" i="14"/>
  <c r="C106" i="14"/>
  <c r="C97" i="14"/>
  <c r="C88" i="14"/>
  <c r="C79" i="14"/>
  <c r="C70" i="14"/>
  <c r="C61" i="14"/>
  <c r="C50" i="14"/>
  <c r="C41" i="14"/>
  <c r="C32" i="14"/>
  <c r="C23" i="14"/>
  <c r="C14" i="14"/>
  <c r="O26" i="15" l="1"/>
  <c r="M26" i="15"/>
  <c r="K26" i="15"/>
  <c r="I26" i="15"/>
  <c r="G26" i="15"/>
  <c r="P25" i="15"/>
  <c r="N25" i="15"/>
  <c r="L25" i="15"/>
  <c r="J25" i="15"/>
  <c r="H25" i="15"/>
  <c r="P24" i="15"/>
  <c r="N24" i="15"/>
  <c r="L24" i="15"/>
  <c r="J24" i="15"/>
  <c r="H24" i="15"/>
  <c r="O21" i="15"/>
  <c r="M21" i="15"/>
  <c r="K21" i="15"/>
  <c r="I21" i="15"/>
  <c r="G21" i="15"/>
  <c r="N26" i="15" l="1"/>
  <c r="P26" i="15"/>
  <c r="H26" i="15"/>
  <c r="J26" i="15"/>
  <c r="L26" i="15"/>
  <c r="O16" i="15"/>
  <c r="O27" i="15" s="1"/>
  <c r="M16" i="15"/>
  <c r="M27" i="15" s="1"/>
  <c r="K16" i="15"/>
  <c r="K27" i="15" s="1"/>
  <c r="I16" i="15"/>
  <c r="I27" i="15" s="1"/>
  <c r="H14" i="15"/>
  <c r="H15" i="15"/>
  <c r="P12" i="15"/>
  <c r="P13" i="15"/>
  <c r="P14" i="15"/>
  <c r="P15" i="15"/>
  <c r="N12" i="15"/>
  <c r="N13" i="15"/>
  <c r="N14" i="15"/>
  <c r="N15" i="15"/>
  <c r="L12" i="15"/>
  <c r="L13" i="15"/>
  <c r="L14" i="15"/>
  <c r="L15" i="15"/>
  <c r="J12" i="15"/>
  <c r="J13" i="15"/>
  <c r="J14" i="15"/>
  <c r="J15" i="15"/>
  <c r="P11" i="15"/>
  <c r="N11" i="15"/>
  <c r="L11" i="15"/>
  <c r="J11" i="15"/>
  <c r="G16" i="15"/>
  <c r="G27" i="15" s="1"/>
  <c r="B6" i="14" s="1"/>
  <c r="H12" i="15"/>
  <c r="H13" i="15"/>
  <c r="H11" i="15"/>
  <c r="G28" i="15" l="1"/>
  <c r="P16" i="15"/>
  <c r="L16" i="15"/>
  <c r="N16" i="15"/>
  <c r="H16" i="15"/>
  <c r="J16" i="15"/>
  <c r="A187" i="14" l="1"/>
  <c r="A178" i="14"/>
  <c r="A169" i="14"/>
  <c r="A160" i="14"/>
  <c r="A151" i="14"/>
  <c r="A140" i="14"/>
  <c r="A131" i="14"/>
  <c r="A122" i="14"/>
  <c r="A113" i="14"/>
  <c r="A104" i="14"/>
  <c r="A95" i="14"/>
  <c r="A86" i="14"/>
  <c r="A77" i="14"/>
  <c r="A68" i="14"/>
  <c r="A48" i="14"/>
  <c r="A39" i="14"/>
  <c r="A30" i="14"/>
  <c r="A21" i="14"/>
  <c r="A12" i="14"/>
  <c r="C194" i="14"/>
  <c r="D194" i="14"/>
  <c r="C185" i="14"/>
  <c r="D185" i="14"/>
  <c r="C176" i="14"/>
  <c r="D176" i="14"/>
  <c r="C167" i="14"/>
  <c r="D167" i="14"/>
  <c r="C158" i="14"/>
  <c r="D158" i="14"/>
  <c r="C147" i="14"/>
  <c r="D147" i="14"/>
  <c r="C138" i="14"/>
  <c r="D138" i="14"/>
  <c r="C129" i="14"/>
  <c r="D129" i="14"/>
  <c r="C120" i="14"/>
  <c r="D120" i="14"/>
  <c r="C111" i="14"/>
  <c r="D111" i="14"/>
  <c r="C102" i="14"/>
  <c r="D102" i="14"/>
  <c r="C93" i="14"/>
  <c r="D93" i="14"/>
  <c r="C84" i="14"/>
  <c r="D84" i="14"/>
  <c r="C75" i="14"/>
  <c r="D75" i="14"/>
  <c r="C66" i="14"/>
  <c r="D66" i="14"/>
  <c r="C55" i="14"/>
  <c r="D55" i="14"/>
  <c r="C46" i="14"/>
  <c r="D46" i="14"/>
  <c r="C37" i="14"/>
  <c r="D37" i="14"/>
  <c r="C28" i="14"/>
  <c r="E28" i="14" s="1"/>
  <c r="D28" i="14"/>
  <c r="C19" i="14"/>
  <c r="D19" i="14"/>
  <c r="C2" i="4"/>
  <c r="C1" i="4"/>
  <c r="E46" i="14" l="1"/>
  <c r="G71" i="14"/>
  <c r="G91" i="14"/>
  <c r="G89" i="14"/>
  <c r="G63" i="14"/>
  <c r="G62" i="14"/>
  <c r="N20" i="15"/>
  <c r="P19" i="15"/>
  <c r="N19" i="15"/>
  <c r="P20" i="15"/>
  <c r="L20" i="15"/>
  <c r="J20" i="15"/>
  <c r="H20" i="15"/>
  <c r="L19" i="15"/>
  <c r="J19" i="15"/>
  <c r="H19" i="15"/>
  <c r="E37" i="14"/>
  <c r="E111" i="14"/>
  <c r="E75" i="14"/>
  <c r="E84" i="14"/>
  <c r="B7" i="14"/>
  <c r="B8" i="14" s="1"/>
  <c r="E66" i="14"/>
  <c r="E93" i="14"/>
  <c r="E102" i="14"/>
  <c r="E55" i="14"/>
  <c r="E120" i="14"/>
  <c r="E19" i="14"/>
  <c r="E138" i="14"/>
  <c r="E158" i="14"/>
  <c r="E176" i="14"/>
  <c r="E194" i="14"/>
  <c r="E129" i="14"/>
  <c r="E147" i="14"/>
  <c r="E167" i="14"/>
  <c r="E185" i="14"/>
  <c r="G196" i="14" l="1"/>
  <c r="H21" i="15"/>
  <c r="H27" i="15" s="1"/>
  <c r="J21" i="15"/>
  <c r="J27" i="15" s="1"/>
  <c r="L21" i="15"/>
  <c r="L27" i="15" s="1"/>
  <c r="N21" i="15"/>
  <c r="N27" i="15" s="1"/>
  <c r="P21" i="15"/>
  <c r="P27" i="15" s="1"/>
  <c r="G29" i="15" l="1"/>
</calcChain>
</file>

<file path=xl/sharedStrings.xml><?xml version="1.0" encoding="utf-8"?>
<sst xmlns="http://schemas.openxmlformats.org/spreadsheetml/2006/main" count="277" uniqueCount="119">
  <si>
    <t>Description</t>
  </si>
  <si>
    <t>Total</t>
  </si>
  <si>
    <t>O</t>
  </si>
  <si>
    <t>N</t>
  </si>
  <si>
    <t>Acquisition</t>
  </si>
  <si>
    <t>E</t>
  </si>
  <si>
    <t>I</t>
  </si>
  <si>
    <t xml:space="preserve"> </t>
  </si>
  <si>
    <t>Date trans.</t>
  </si>
  <si>
    <t>Transaction</t>
  </si>
  <si>
    <t>Catégorie de coûts</t>
  </si>
  <si>
    <t>Autres frais</t>
  </si>
  <si>
    <t>Impartition auprès d'un autre OP</t>
  </si>
  <si>
    <t>Location</t>
  </si>
  <si>
    <t>Rémunération du personnel de l'OP</t>
  </si>
  <si>
    <t>Rémunération du personnel d'un autre OP en PS</t>
  </si>
  <si>
    <t>Réserve</t>
  </si>
  <si>
    <t>Ressources externes</t>
  </si>
  <si>
    <t>2023-2024</t>
  </si>
  <si>
    <t>2024-2025</t>
  </si>
  <si>
    <t>Budget de fonctionnement - Courant (CAP)</t>
  </si>
  <si>
    <t>Budget de fonctionnement - Solde de fonds (CAP)</t>
  </si>
  <si>
    <t>Budget de fonctionnement - Crédits reportés (CAP)</t>
  </si>
  <si>
    <t>Budget de fonctionnement - Solde de fonds (NON CAP)</t>
  </si>
  <si>
    <t>Budget de fonctionnement - Crédits reportés (NON CAP)</t>
  </si>
  <si>
    <t>Budget d'immobilisation  - Courant (CAP)</t>
  </si>
  <si>
    <t>Budget d'immobilisation  - Solde de fonds (CAP)</t>
  </si>
  <si>
    <t>Budget d'immobilisation  - Crédits reportés (CAP)</t>
  </si>
  <si>
    <t>Autres dépenses TI de nature captalisable (ADTI)</t>
  </si>
  <si>
    <t>Maintien d'actifs informationnels (MAI)</t>
  </si>
  <si>
    <t>Accélération numérique (AC)</t>
  </si>
  <si>
    <t>Fondation - fonds d'exploitation (CAP)</t>
  </si>
  <si>
    <t>Fondation - fonds d'exploitation ( NON CAP)</t>
  </si>
  <si>
    <t>Fondation - fonds d'immobilisation (CAP)</t>
  </si>
  <si>
    <t>Autres financés par le gouvernement fédéral (NON CAP)</t>
  </si>
  <si>
    <t>Conversion - Dépenses réelles - 2018-2019</t>
  </si>
  <si>
    <t>Autres - Transfert MSSS -Cap</t>
  </si>
  <si>
    <t>Autres - Transfert MSSS - Non Cap</t>
  </si>
  <si>
    <t>CO/CDO - Transfert MSSS - Cap</t>
  </si>
  <si>
    <t>CO/CDO - Transfert MSSS - Non Cap</t>
  </si>
  <si>
    <t>Fonds immo - PCFI - Cap</t>
  </si>
  <si>
    <t>Fonds immo - PCEM - Cap</t>
  </si>
  <si>
    <t>Fonds immo - AC - Cap</t>
  </si>
  <si>
    <t>Fonds immo - MAI - Cap</t>
  </si>
  <si>
    <t>Fonds immo - Courant - Cap</t>
  </si>
  <si>
    <t>Fonds exploitation - Crédits reportés - Non Cap</t>
  </si>
  <si>
    <t>Fonds exploitation - Solde de fonds - Non Cap</t>
  </si>
  <si>
    <t>Fonds exploitation - Dépense de l'exercice - Non Cap</t>
  </si>
  <si>
    <t>Fonds exploitation - Crédits reportés - Cap</t>
  </si>
  <si>
    <t>Fonds exploitation - Solde de fonds - Cap</t>
  </si>
  <si>
    <t>Fonds exploitation - Dépense de l'exercice - Cap</t>
  </si>
  <si>
    <t>Source de financement</t>
  </si>
  <si>
    <t>PMT – Transfert MSSS (NON CAP)</t>
  </si>
  <si>
    <t>PMT – EIRI (CAP))</t>
  </si>
  <si>
    <t>100172-9300000</t>
  </si>
  <si>
    <t>2025-2026</t>
  </si>
  <si>
    <t>2026-2027</t>
  </si>
  <si>
    <t>2027-2028</t>
  </si>
  <si>
    <t>Montant 2023-2024</t>
  </si>
  <si>
    <t>9300867-70560</t>
  </si>
  <si>
    <t>Facture 12171-12h</t>
  </si>
  <si>
    <t>Facture 12164-2h</t>
  </si>
  <si>
    <t>Facture 12167-10h</t>
  </si>
  <si>
    <t>Facture 12164-36h</t>
  </si>
  <si>
    <t>Project Name:</t>
  </si>
  <si>
    <t>Project #:</t>
  </si>
  <si>
    <t>Project Manager:</t>
  </si>
  <si>
    <t>Account Number:</t>
  </si>
  <si>
    <t>Cost with Tax</t>
  </si>
  <si>
    <t>Tax Included</t>
  </si>
  <si>
    <t>Cost before tax</t>
  </si>
  <si>
    <t>Total other sources of funding</t>
  </si>
  <si>
    <t>Subtotal for the Implementation phase</t>
  </si>
  <si>
    <t>Total cost before taxes of the Execution phase</t>
  </si>
  <si>
    <t>Total cost after tax for the Execution phase</t>
  </si>
  <si>
    <r>
      <rPr>
        <b/>
        <sz val="10"/>
        <rFont val="Arial"/>
        <family val="2"/>
      </rPr>
      <t>Other Sources of Financing</t>
    </r>
    <r>
      <rPr>
        <b/>
        <sz val="10"/>
        <color rgb="FF0070C0"/>
        <rFont val="Arial"/>
        <family val="2"/>
      </rPr>
      <t xml:space="preserve"> Ex: fondation, FRISSS</t>
    </r>
  </si>
  <si>
    <t>Total Investments-Capital Fund</t>
  </si>
  <si>
    <t>Investments-Capital Fund</t>
  </si>
  <si>
    <t>Total Operating Fund Expenditures</t>
  </si>
  <si>
    <t>Operating fund expenditures</t>
  </si>
  <si>
    <t>Comments</t>
  </si>
  <si>
    <t>Cost category</t>
  </si>
  <si>
    <t>Add tax (Y/N)</t>
  </si>
  <si>
    <t>Supplier</t>
  </si>
  <si>
    <t>G/L Account</t>
  </si>
  <si>
    <t>Source of Financing</t>
  </si>
  <si>
    <t>Project management</t>
  </si>
  <si>
    <t xml:space="preserve">System management </t>
  </si>
  <si>
    <t>Budget Execution item other source 1</t>
  </si>
  <si>
    <t>Budget Execution item other source 2</t>
  </si>
  <si>
    <t>Budget Execution item exploit 4</t>
  </si>
  <si>
    <t>Budget Execution item exploit 5</t>
  </si>
  <si>
    <t>12 hours for networking installation</t>
  </si>
  <si>
    <t>8 hours Remote Assist training (super users)</t>
  </si>
  <si>
    <t>BUDGET Execution</t>
  </si>
  <si>
    <t>Flag a problem</t>
  </si>
  <si>
    <t xml:space="preserve">Initial amount: </t>
  </si>
  <si>
    <t>Invoiced amount</t>
  </si>
  <si>
    <t>Budget Execution</t>
  </si>
  <si>
    <t>Expenditures - capital fund</t>
  </si>
  <si>
    <t>Budgeted amount</t>
  </si>
  <si>
    <t>Expenditures - other sources</t>
  </si>
  <si>
    <t>Balance:</t>
  </si>
  <si>
    <t>Execution</t>
  </si>
  <si>
    <t>Enter the % of applicable tax here</t>
  </si>
  <si>
    <t>INFORMATION TAXES</t>
  </si>
  <si>
    <t>A place to keep other rates</t>
  </si>
  <si>
    <t>Enter here the % increase in annual recurrence</t>
  </si>
  <si>
    <t>Choice of Answer (O)ui, (N)on:</t>
  </si>
  <si>
    <t>Choice of Answer (I)mmo, (E)xpl:</t>
  </si>
  <si>
    <t>Rate inverse</t>
  </si>
  <si>
    <t>Rate applicable if Youth Centre only</t>
  </si>
  <si>
    <t xml:space="preserve">Rate applicable </t>
  </si>
  <si>
    <t>First year of the project</t>
  </si>
  <si>
    <t xml:space="preserve">Test </t>
  </si>
  <si>
    <t>Monitors the Budget over the course of one year.***</t>
  </si>
  <si>
    <t>Would need the option to have it 1 to 7 years***</t>
  </si>
  <si>
    <t>Mr. Pramod</t>
  </si>
  <si>
    <t>Programmer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</si>
</sst>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 * #,##0.00_)\ &quot;$&quot;_ ;_ * \(#,##0.00\)\ &quot;$&quot;_ ;_ * &quot;-&quot;??_)\ &quot;$&quot;_ ;_ @_ "/>
    <numFmt numFmtId="165" formatCode="_ * #,##0.00_)\ _$_ ;_ * \(#,##0.00\)\ _$_ ;_ * &quot;-&quot;??_)\ _$_ ;_ @_ "/>
    <numFmt numFmtId="166" formatCode="_ * #,##0_)\ _$_ ;_ * \(#,##0\)\ _$_ ;_ * &quot;-&quot;??_)\ _$_ ;_ @_ "/>
    <numFmt numFmtId="167" formatCode="0.0000"/>
    <numFmt numFmtId="168" formatCode="0.0000%"/>
    <numFmt numFmtId="169" formatCode="0.000000"/>
    <numFmt numFmtId="170" formatCode="#,##0.00\ _$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theme="1"/>
      <name val="Arial"/>
      <family val="2"/>
    </font>
    <font>
      <b/>
      <sz val="10"/>
      <color rgb="FF0070C0"/>
      <name val="Arial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2" borderId="4" xfId="0" applyFill="1" applyBorder="1"/>
    <xf numFmtId="167" fontId="0" fillId="2" borderId="5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wrapText="1"/>
    </xf>
    <xf numFmtId="167" fontId="0" fillId="0" borderId="0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/>
    <xf numFmtId="0" fontId="4" fillId="3" borderId="0" xfId="0" applyFont="1" applyFill="1"/>
    <xf numFmtId="0" fontId="0" fillId="0" borderId="0" xfId="0" applyFont="1"/>
    <xf numFmtId="0" fontId="1" fillId="0" borderId="1" xfId="0" applyFont="1" applyFill="1" applyBorder="1" applyAlignment="1">
      <alignment horizontal="left" vertical="center" wrapText="1" indent="3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4" fontId="4" fillId="2" borderId="10" xfId="0" applyNumberFormat="1" applyFont="1" applyFill="1" applyBorder="1" applyAlignment="1">
      <alignment horizontal="right" vertical="center"/>
    </xf>
    <xf numFmtId="4" fontId="4" fillId="2" borderId="5" xfId="0" applyNumberFormat="1" applyFont="1" applyFill="1" applyBorder="1" applyAlignment="1">
      <alignment horizontal="right" vertical="center"/>
    </xf>
    <xf numFmtId="4" fontId="4" fillId="0" borderId="0" xfId="0" applyNumberFormat="1" applyFont="1" applyFill="1" applyBorder="1" applyAlignment="1">
      <alignment horizontal="right" vertical="center"/>
    </xf>
    <xf numFmtId="4" fontId="0" fillId="0" borderId="15" xfId="0" applyNumberFormat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4" fontId="4" fillId="0" borderId="15" xfId="0" applyNumberFormat="1" applyFont="1" applyFill="1" applyBorder="1" applyAlignment="1">
      <alignment horizontal="right" vertical="center"/>
    </xf>
    <xf numFmtId="0" fontId="4" fillId="0" borderId="19" xfId="0" applyFont="1" applyBorder="1" applyAlignment="1">
      <alignment horizontal="left" vertical="center"/>
    </xf>
    <xf numFmtId="14" fontId="4" fillId="0" borderId="17" xfId="0" applyNumberFormat="1" applyFont="1" applyFill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" fontId="4" fillId="0" borderId="15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168" fontId="0" fillId="0" borderId="1" xfId="0" applyNumberFormat="1" applyBorder="1" applyAlignment="1">
      <alignment horizontal="center"/>
    </xf>
    <xf numFmtId="169" fontId="0" fillId="2" borderId="5" xfId="0" applyNumberFormat="1" applyFill="1" applyBorder="1" applyAlignment="1">
      <alignment horizontal="center"/>
    </xf>
    <xf numFmtId="0" fontId="0" fillId="5" borderId="0" xfId="0" applyFill="1"/>
    <xf numFmtId="0" fontId="1" fillId="0" borderId="1" xfId="0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right" vertical="center" wrapText="1"/>
    </xf>
    <xf numFmtId="0" fontId="4" fillId="4" borderId="0" xfId="0" applyFont="1" applyFill="1" applyBorder="1" applyAlignment="1">
      <alignment horizontal="left" vertical="center"/>
    </xf>
    <xf numFmtId="2" fontId="4" fillId="4" borderId="0" xfId="0" applyNumberFormat="1" applyFont="1" applyFill="1" applyBorder="1" applyAlignment="1">
      <alignment horizontal="right" vertical="center"/>
    </xf>
    <xf numFmtId="4" fontId="4" fillId="0" borderId="0" xfId="0" applyNumberFormat="1" applyFont="1" applyFill="1" applyBorder="1" applyAlignment="1">
      <alignment vertical="center"/>
    </xf>
    <xf numFmtId="0" fontId="4" fillId="7" borderId="0" xfId="0" applyFont="1" applyFill="1" applyBorder="1" applyAlignment="1">
      <alignment horizontal="left" vertical="center"/>
    </xf>
    <xf numFmtId="43" fontId="5" fillId="5" borderId="4" xfId="0" applyNumberFormat="1" applyFont="1" applyFill="1" applyBorder="1" applyAlignment="1">
      <alignment vertical="center"/>
    </xf>
    <xf numFmtId="43" fontId="7" fillId="0" borderId="6" xfId="0" applyNumberFormat="1" applyFont="1" applyBorder="1" applyAlignment="1">
      <alignment vertical="center"/>
    </xf>
    <xf numFmtId="43" fontId="7" fillId="0" borderId="0" xfId="0" applyNumberFormat="1" applyFont="1" applyBorder="1" applyAlignment="1">
      <alignment vertical="center"/>
    </xf>
    <xf numFmtId="43" fontId="7" fillId="0" borderId="6" xfId="0" applyNumberFormat="1" applyFont="1" applyFill="1" applyBorder="1" applyAlignment="1">
      <alignment vertical="center"/>
    </xf>
    <xf numFmtId="43" fontId="7" fillId="0" borderId="0" xfId="0" applyNumberFormat="1" applyFont="1" applyAlignment="1">
      <alignment vertical="center"/>
    </xf>
    <xf numFmtId="4" fontId="4" fillId="7" borderId="0" xfId="0" applyNumberFormat="1" applyFont="1" applyFill="1" applyBorder="1" applyAlignment="1">
      <alignment horizontal="right" vertical="center"/>
    </xf>
    <xf numFmtId="4" fontId="4" fillId="7" borderId="15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left" vertical="center" wrapText="1" indent="3"/>
    </xf>
    <xf numFmtId="0" fontId="7" fillId="0" borderId="0" xfId="0" applyFont="1"/>
    <xf numFmtId="0" fontId="7" fillId="0" borderId="0" xfId="0" applyFont="1" applyFill="1"/>
    <xf numFmtId="0" fontId="5" fillId="0" borderId="0" xfId="0" applyFont="1"/>
    <xf numFmtId="0" fontId="0" fillId="0" borderId="0" xfId="0" applyFont="1" applyBorder="1"/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170" fontId="11" fillId="2" borderId="1" xfId="0" applyNumberFormat="1" applyFont="1" applyFill="1" applyBorder="1" applyAlignment="1">
      <alignment horizontal="center" vertical="center" wrapText="1"/>
    </xf>
    <xf numFmtId="170" fontId="1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indent="3"/>
    </xf>
    <xf numFmtId="0" fontId="1" fillId="0" borderId="1" xfId="0" applyFont="1" applyFill="1" applyBorder="1" applyAlignment="1">
      <alignment horizontal="right" vertical="center" indent="3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 indent="3"/>
    </xf>
    <xf numFmtId="0" fontId="1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3" xfId="0" applyBorder="1" applyAlignment="1">
      <alignment vertical="center"/>
    </xf>
    <xf numFmtId="43" fontId="7" fillId="0" borderId="0" xfId="0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170" fontId="1" fillId="0" borderId="1" xfId="0" applyNumberFormat="1" applyFont="1" applyBorder="1" applyAlignment="1">
      <alignment vertical="center" wrapText="1"/>
    </xf>
    <xf numFmtId="170" fontId="2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4" fontId="2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0" fillId="0" borderId="23" xfId="0" applyBorder="1" applyAlignment="1">
      <alignment vertical="center"/>
    </xf>
    <xf numFmtId="4" fontId="0" fillId="0" borderId="23" xfId="0" applyNumberFormat="1" applyBorder="1" applyAlignment="1">
      <alignment horizontal="right" vertical="center"/>
    </xf>
    <xf numFmtId="4" fontId="0" fillId="0" borderId="0" xfId="0" applyNumberFormat="1" applyFill="1" applyBorder="1" applyAlignment="1">
      <alignment horizontal="right" vertical="center"/>
    </xf>
    <xf numFmtId="0" fontId="2" fillId="0" borderId="26" xfId="0" applyFont="1" applyFill="1" applyBorder="1" applyAlignment="1">
      <alignment vertical="center" wrapText="1"/>
    </xf>
    <xf numFmtId="4" fontId="2" fillId="2" borderId="2" xfId="0" applyNumberFormat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43" fontId="7" fillId="0" borderId="27" xfId="0" applyNumberFormat="1" applyFont="1" applyFill="1" applyBorder="1" applyAlignment="1">
      <alignment vertical="center"/>
    </xf>
    <xf numFmtId="43" fontId="7" fillId="0" borderId="23" xfId="0" applyNumberFormat="1" applyFont="1" applyBorder="1" applyAlignment="1">
      <alignment vertical="center"/>
    </xf>
    <xf numFmtId="0" fontId="14" fillId="0" borderId="9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indent="3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70" fontId="14" fillId="0" borderId="1" xfId="0" applyNumberFormat="1" applyFont="1" applyBorder="1" applyAlignment="1">
      <alignment vertical="center" wrapText="1"/>
    </xf>
    <xf numFmtId="0" fontId="15" fillId="0" borderId="0" xfId="0" applyFont="1"/>
    <xf numFmtId="0" fontId="15" fillId="0" borderId="0" xfId="0" applyFont="1" applyFill="1"/>
    <xf numFmtId="0" fontId="9" fillId="0" borderId="0" xfId="0" applyFont="1" applyBorder="1" applyAlignment="1">
      <alignment vertical="center" wrapText="1"/>
    </xf>
    <xf numFmtId="0" fontId="10" fillId="3" borderId="0" xfId="0" applyFont="1" applyFill="1" applyBorder="1" applyAlignment="1">
      <alignment vertical="center" wrapText="1"/>
    </xf>
    <xf numFmtId="0" fontId="2" fillId="6" borderId="13" xfId="0" applyFont="1" applyFill="1" applyBorder="1" applyAlignment="1">
      <alignment vertical="center" wrapText="1"/>
    </xf>
    <xf numFmtId="0" fontId="0" fillId="0" borderId="13" xfId="0" applyFont="1" applyBorder="1" applyAlignment="1" applyProtection="1">
      <alignment wrapText="1"/>
      <protection locked="0"/>
    </xf>
    <xf numFmtId="0" fontId="0" fillId="0" borderId="13" xfId="0" applyFont="1" applyFill="1" applyBorder="1" applyAlignment="1" applyProtection="1">
      <alignment wrapText="1"/>
      <protection locked="0"/>
    </xf>
    <xf numFmtId="0" fontId="2" fillId="0" borderId="13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0" fillId="6" borderId="13" xfId="0" applyFont="1" applyFill="1" applyBorder="1" applyAlignment="1" applyProtection="1">
      <alignment wrapText="1"/>
      <protection locked="0"/>
    </xf>
    <xf numFmtId="0" fontId="0" fillId="0" borderId="0" xfId="0" applyFont="1" applyFill="1" applyBorder="1" applyAlignment="1" applyProtection="1">
      <alignment wrapText="1"/>
      <protection locked="0"/>
    </xf>
    <xf numFmtId="0" fontId="0" fillId="0" borderId="0" xfId="0" applyFont="1" applyBorder="1" applyAlignment="1">
      <alignment horizontal="right" wrapText="1"/>
    </xf>
    <xf numFmtId="0" fontId="0" fillId="0" borderId="0" xfId="0" applyFont="1" applyAlignment="1">
      <alignment horizontal="right" wrapText="1"/>
    </xf>
    <xf numFmtId="0" fontId="14" fillId="0" borderId="1" xfId="0" applyFont="1" applyFill="1" applyBorder="1" applyAlignment="1">
      <alignment vertical="center"/>
    </xf>
    <xf numFmtId="4" fontId="14" fillId="2" borderId="1" xfId="0" applyNumberFormat="1" applyFont="1" applyFill="1" applyBorder="1" applyAlignment="1">
      <alignment horizontal="center" vertical="center"/>
    </xf>
    <xf numFmtId="0" fontId="15" fillId="0" borderId="13" xfId="0" applyFont="1" applyBorder="1" applyAlignment="1" applyProtection="1">
      <alignment wrapText="1"/>
      <protection locked="0"/>
    </xf>
    <xf numFmtId="0" fontId="15" fillId="0" borderId="13" xfId="0" applyFont="1" applyFill="1" applyBorder="1" applyAlignment="1" applyProtection="1">
      <alignment wrapText="1"/>
      <protection locked="0"/>
    </xf>
    <xf numFmtId="14" fontId="16" fillId="0" borderId="17" xfId="0" applyNumberFormat="1" applyFont="1" applyFill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4" fontId="15" fillId="0" borderId="0" xfId="0" applyNumberFormat="1" applyFont="1" applyBorder="1" applyAlignment="1">
      <alignment horizontal="right" vertical="center"/>
    </xf>
    <xf numFmtId="4" fontId="15" fillId="0" borderId="15" xfId="0" applyNumberFormat="1" applyFont="1" applyBorder="1" applyAlignment="1">
      <alignment horizontal="right" vertical="center"/>
    </xf>
    <xf numFmtId="0" fontId="15" fillId="0" borderId="16" xfId="0" applyFont="1" applyBorder="1" applyAlignment="1">
      <alignment vertical="center"/>
    </xf>
    <xf numFmtId="43" fontId="15" fillId="0" borderId="6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Fill="1" applyBorder="1" applyAlignment="1">
      <alignment vertical="center"/>
    </xf>
    <xf numFmtId="2" fontId="15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right" vertical="center"/>
    </xf>
    <xf numFmtId="0" fontId="0" fillId="0" borderId="10" xfId="0" applyFont="1" applyBorder="1" applyAlignment="1">
      <alignment horizontal="right" vertical="center"/>
    </xf>
    <xf numFmtId="0" fontId="0" fillId="0" borderId="5" xfId="0" applyFont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4" fontId="2" fillId="2" borderId="4" xfId="0" applyNumberFormat="1" applyFont="1" applyFill="1" applyBorder="1" applyAlignment="1">
      <alignment horizontal="center" vertical="center"/>
    </xf>
    <xf numFmtId="4" fontId="2" fillId="2" borderId="10" xfId="0" applyNumberFormat="1" applyFont="1" applyFill="1" applyBorder="1" applyAlignment="1">
      <alignment horizontal="center" vertical="center"/>
    </xf>
    <xf numFmtId="4" fontId="2" fillId="2" borderId="5" xfId="0" applyNumberFormat="1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25" xfId="0" applyFont="1" applyFill="1" applyBorder="1" applyAlignment="1">
      <alignment horizontal="right" vertical="center"/>
    </xf>
    <xf numFmtId="0" fontId="0" fillId="0" borderId="0" xfId="0" applyFont="1" applyBorder="1" applyAlignment="1">
      <alignment horizontal="center"/>
    </xf>
    <xf numFmtId="0" fontId="2" fillId="6" borderId="2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" fontId="2" fillId="2" borderId="20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43" fontId="4" fillId="4" borderId="1" xfId="0" applyNumberFormat="1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3">
    <cellStyle name="Comma 2" xfId="1" xr:uid="{00000000-0005-0000-0000-000000000000}"/>
    <cellStyle name="Currency 2" xfId="2" xr:uid="{00000000-0005-0000-0000-000002000000}"/>
    <cellStyle name="Normal" xfId="0" builtinId="0"/>
  </cellStyles>
  <dxfs count="60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X:\KM\montage%20financier\SuiviMontage%20financierv2020081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D12"/>
  <sheetViews>
    <sheetView workbookViewId="0">
      <selection activeCell="B4" sqref="B4"/>
    </sheetView>
  </sheetViews>
  <sheetFormatPr defaultColWidth="11.46484375" defaultRowHeight="14.25" x14ac:dyDescent="0.45"/>
  <cols>
    <col min="1" max="1" width="42.73046875" bestFit="1" customWidth="1"/>
  </cols>
  <sheetData>
    <row r="1" spans="1:4" x14ac:dyDescent="0.45">
      <c r="A1" s="4" t="s">
        <v>104</v>
      </c>
      <c r="B1" s="39">
        <v>5.6878999999999999E-2</v>
      </c>
      <c r="C1" s="40">
        <f>B1+1</f>
        <v>1.0568789999999999</v>
      </c>
    </row>
    <row r="2" spans="1:4" x14ac:dyDescent="0.45">
      <c r="A2" s="7" t="s">
        <v>107</v>
      </c>
      <c r="B2" s="3">
        <v>0.05</v>
      </c>
      <c r="C2" s="5">
        <f>B2+1</f>
        <v>1.05</v>
      </c>
    </row>
    <row r="3" spans="1:4" x14ac:dyDescent="0.45">
      <c r="A3" s="7" t="s">
        <v>113</v>
      </c>
      <c r="B3" s="9" t="s">
        <v>18</v>
      </c>
      <c r="C3" s="8"/>
    </row>
    <row r="4" spans="1:4" x14ac:dyDescent="0.45">
      <c r="A4" s="138" t="s">
        <v>108</v>
      </c>
      <c r="B4" s="6" t="s">
        <v>2</v>
      </c>
      <c r="C4" s="1"/>
    </row>
    <row r="5" spans="1:4" x14ac:dyDescent="0.45">
      <c r="A5" s="139"/>
      <c r="B5" s="2" t="s">
        <v>3</v>
      </c>
      <c r="C5" s="1"/>
    </row>
    <row r="6" spans="1:4" x14ac:dyDescent="0.45">
      <c r="A6" s="138" t="s">
        <v>109</v>
      </c>
      <c r="B6" s="12" t="s">
        <v>6</v>
      </c>
    </row>
    <row r="7" spans="1:4" x14ac:dyDescent="0.45">
      <c r="A7" s="139"/>
      <c r="B7" s="11" t="s">
        <v>5</v>
      </c>
    </row>
    <row r="9" spans="1:4" x14ac:dyDescent="0.45">
      <c r="A9" t="s">
        <v>105</v>
      </c>
      <c r="D9" t="s">
        <v>106</v>
      </c>
    </row>
    <row r="10" spans="1:4" x14ac:dyDescent="0.45">
      <c r="A10" t="s">
        <v>112</v>
      </c>
      <c r="B10" s="39">
        <v>5.6878999999999999E-2</v>
      </c>
    </row>
    <row r="11" spans="1:4" x14ac:dyDescent="0.45">
      <c r="A11" t="s">
        <v>111</v>
      </c>
      <c r="B11" s="41"/>
    </row>
    <row r="12" spans="1:4" x14ac:dyDescent="0.45">
      <c r="A12" t="s">
        <v>110</v>
      </c>
      <c r="B12">
        <v>0.94620000000000004</v>
      </c>
    </row>
  </sheetData>
  <mergeCells count="2">
    <mergeCell ref="A4:A5"/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3"/>
  <sheetViews>
    <sheetView topLeftCell="A4" zoomScale="70" zoomScaleNormal="70" workbookViewId="0">
      <selection activeCell="G12" sqref="G12"/>
    </sheetView>
  </sheetViews>
  <sheetFormatPr defaultColWidth="9.19921875" defaultRowHeight="14.25" x14ac:dyDescent="0.45"/>
  <cols>
    <col min="1" max="1" width="54.53125" style="15" bestFit="1" customWidth="1"/>
    <col min="2" max="2" width="38.73046875" style="15" customWidth="1"/>
    <col min="3" max="3" width="20.796875" style="15" customWidth="1"/>
    <col min="4" max="4" width="15.06640625" style="15" customWidth="1"/>
    <col min="5" max="5" width="21.53125" style="15" customWidth="1"/>
    <col min="6" max="6" width="38.46484375" style="15" customWidth="1"/>
    <col min="7" max="16" width="12.73046875" style="15" customWidth="1"/>
    <col min="17" max="17" width="44.796875" style="123" customWidth="1"/>
    <col min="18" max="18" width="9.19921875" style="15"/>
    <col min="19" max="19" width="41.796875" style="15" hidden="1" customWidth="1"/>
    <col min="20" max="20" width="56.73046875" style="15" hidden="1" customWidth="1"/>
    <col min="21" max="22" width="9.19921875" style="15" customWidth="1"/>
    <col min="23" max="16384" width="9.19921875" style="15"/>
  </cols>
  <sheetData>
    <row r="1" spans="1:20" x14ac:dyDescent="0.45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S1" s="14" t="s">
        <v>10</v>
      </c>
      <c r="T1" s="14" t="s">
        <v>51</v>
      </c>
    </row>
    <row r="2" spans="1:20" s="62" customFormat="1" ht="23.25" x14ac:dyDescent="0.45">
      <c r="A2" s="63" t="s">
        <v>64</v>
      </c>
      <c r="B2" s="64" t="s">
        <v>114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113"/>
      <c r="R2" s="64"/>
      <c r="S2" s="15" t="s">
        <v>4</v>
      </c>
      <c r="T2" s="15" t="s">
        <v>20</v>
      </c>
    </row>
    <row r="3" spans="1:20" s="62" customFormat="1" ht="23.25" x14ac:dyDescent="0.45">
      <c r="A3" s="63" t="s">
        <v>65</v>
      </c>
      <c r="B3" s="137">
        <v>1021995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113"/>
      <c r="R3" s="64"/>
      <c r="S3" s="15" t="s">
        <v>11</v>
      </c>
      <c r="T3" s="15" t="s">
        <v>21</v>
      </c>
    </row>
    <row r="4" spans="1:20" s="62" customFormat="1" ht="23.25" x14ac:dyDescent="0.45">
      <c r="A4" s="63" t="s">
        <v>66</v>
      </c>
      <c r="B4" s="64" t="s">
        <v>117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113"/>
      <c r="R4" s="64"/>
      <c r="S4" s="15" t="s">
        <v>12</v>
      </c>
      <c r="T4" s="15" t="s">
        <v>22</v>
      </c>
    </row>
    <row r="5" spans="1:20" s="62" customFormat="1" ht="23.25" x14ac:dyDescent="0.45">
      <c r="A5" s="63" t="s">
        <v>67</v>
      </c>
      <c r="B5" s="64" t="s">
        <v>59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113"/>
      <c r="R5" s="64"/>
      <c r="S5" s="15" t="s">
        <v>13</v>
      </c>
      <c r="T5" s="15" t="s">
        <v>23</v>
      </c>
    </row>
    <row r="6" spans="1:20" x14ac:dyDescent="0.45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S6" s="15" t="s">
        <v>14</v>
      </c>
      <c r="T6" s="15" t="s">
        <v>24</v>
      </c>
    </row>
    <row r="7" spans="1:20" ht="18.399999999999999" thickBot="1" x14ac:dyDescent="0.5">
      <c r="A7" s="69" t="s">
        <v>103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114"/>
      <c r="S7" s="15" t="s">
        <v>15</v>
      </c>
      <c r="T7" s="15" t="s">
        <v>25</v>
      </c>
    </row>
    <row r="8" spans="1:20" ht="15" customHeight="1" x14ac:dyDescent="0.45">
      <c r="A8" s="165" t="s">
        <v>0</v>
      </c>
      <c r="B8" s="167" t="s">
        <v>81</v>
      </c>
      <c r="C8" s="163" t="s">
        <v>82</v>
      </c>
      <c r="D8" s="163" t="s">
        <v>83</v>
      </c>
      <c r="E8" s="140" t="s">
        <v>84</v>
      </c>
      <c r="F8" s="167" t="s">
        <v>85</v>
      </c>
      <c r="G8" s="163" t="s">
        <v>18</v>
      </c>
      <c r="H8" s="163"/>
      <c r="I8" s="164" t="s">
        <v>19</v>
      </c>
      <c r="J8" s="164"/>
      <c r="K8" s="163" t="s">
        <v>55</v>
      </c>
      <c r="L8" s="163"/>
      <c r="M8" s="163" t="s">
        <v>56</v>
      </c>
      <c r="N8" s="163"/>
      <c r="O8" s="163" t="s">
        <v>57</v>
      </c>
      <c r="P8" s="163"/>
      <c r="Q8" s="161" t="s">
        <v>80</v>
      </c>
      <c r="S8" s="15" t="s">
        <v>16</v>
      </c>
      <c r="T8" s="15" t="s">
        <v>26</v>
      </c>
    </row>
    <row r="9" spans="1:20" s="61" customFormat="1" ht="50.25" customHeight="1" x14ac:dyDescent="0.45">
      <c r="A9" s="166"/>
      <c r="B9" s="146"/>
      <c r="C9" s="168"/>
      <c r="D9" s="168"/>
      <c r="E9" s="141"/>
      <c r="F9" s="146"/>
      <c r="G9" s="66" t="s">
        <v>70</v>
      </c>
      <c r="H9" s="67" t="s">
        <v>69</v>
      </c>
      <c r="I9" s="66" t="s">
        <v>70</v>
      </c>
      <c r="J9" s="67" t="s">
        <v>69</v>
      </c>
      <c r="K9" s="66" t="s">
        <v>70</v>
      </c>
      <c r="L9" s="67" t="s">
        <v>69</v>
      </c>
      <c r="M9" s="66" t="s">
        <v>70</v>
      </c>
      <c r="N9" s="67" t="s">
        <v>69</v>
      </c>
      <c r="O9" s="66" t="s">
        <v>70</v>
      </c>
      <c r="P9" s="67" t="s">
        <v>69</v>
      </c>
      <c r="Q9" s="162"/>
      <c r="S9" s="60" t="s">
        <v>17</v>
      </c>
      <c r="T9" s="59" t="s">
        <v>27</v>
      </c>
    </row>
    <row r="10" spans="1:20" x14ac:dyDescent="0.45">
      <c r="A10" s="158" t="s">
        <v>79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60"/>
      <c r="Q10" s="115"/>
      <c r="T10" s="15" t="s">
        <v>28</v>
      </c>
    </row>
    <row r="11" spans="1:20" s="111" customFormat="1" ht="17.649999999999999" customHeight="1" x14ac:dyDescent="0.45">
      <c r="A11" s="106" t="s">
        <v>86</v>
      </c>
      <c r="B11" s="124" t="s">
        <v>15</v>
      </c>
      <c r="C11" s="108" t="s">
        <v>2</v>
      </c>
      <c r="D11" s="108"/>
      <c r="E11" s="108"/>
      <c r="F11" s="108" t="s">
        <v>37</v>
      </c>
      <c r="G11" s="110">
        <v>350</v>
      </c>
      <c r="H11" s="125">
        <f>IF($C11="O",ROUND(ROUND(G11,2)*'Parameters '!$C$1,2),ROUND(G11,2))</f>
        <v>369.91</v>
      </c>
      <c r="I11" s="110"/>
      <c r="J11" s="125">
        <f>IF($C11="O",ROUND(ROUND(I11,2)*'Parameters '!$C$1,2),ROUND(I11,2))</f>
        <v>0</v>
      </c>
      <c r="K11" s="110"/>
      <c r="L11" s="125">
        <f>IF($C11="O",ROUND(ROUND(K11,2)*'Parameters '!$C$1,2),ROUND(K11,2))</f>
        <v>0</v>
      </c>
      <c r="M11" s="110"/>
      <c r="N11" s="125">
        <f>IF($C11="O",ROUND(ROUND(M11,2)*'Parameters '!$C$1,2),ROUND(M11,2))</f>
        <v>0</v>
      </c>
      <c r="O11" s="110"/>
      <c r="P11" s="125">
        <f>IF($C11="O",ROUND(ROUND(O11,2)*'Parameters '!$C$1,2),ROUND(O11,2))</f>
        <v>0</v>
      </c>
      <c r="Q11" s="126"/>
      <c r="T11" s="111" t="s">
        <v>29</v>
      </c>
    </row>
    <row r="12" spans="1:20" s="111" customFormat="1" x14ac:dyDescent="0.45">
      <c r="A12" s="106" t="s">
        <v>87</v>
      </c>
      <c r="B12" s="124"/>
      <c r="C12" s="108" t="s">
        <v>2</v>
      </c>
      <c r="D12" s="108"/>
      <c r="E12" s="108"/>
      <c r="F12" s="108"/>
      <c r="G12" s="110">
        <v>5000</v>
      </c>
      <c r="H12" s="125">
        <f>IF($C12="O",ROUND(ROUND(G12,2)*'Parameters '!$C$1,2),ROUND(G12,2))</f>
        <v>5284.4</v>
      </c>
      <c r="I12" s="110"/>
      <c r="J12" s="125">
        <f>IF($C12="O",ROUND(ROUND(I12,2)*'Parameters '!$C$1,2),ROUND(I12,2))</f>
        <v>0</v>
      </c>
      <c r="K12" s="110"/>
      <c r="L12" s="125">
        <f>IF($C12="O",ROUND(ROUND(K12,2)*'Parameters '!$C$1,2),ROUND(K12,2))</f>
        <v>0</v>
      </c>
      <c r="M12" s="110"/>
      <c r="N12" s="125">
        <f>IF($C12="O",ROUND(ROUND(M12,2)*'Parameters '!$C$1,2),ROUND(M12,2))</f>
        <v>0</v>
      </c>
      <c r="O12" s="110"/>
      <c r="P12" s="125">
        <f>IF($C12="O",ROUND(ROUND(O12,2)*'Parameters '!$C$1,2),ROUND(O12,2))</f>
        <v>0</v>
      </c>
      <c r="Q12" s="126"/>
      <c r="T12" s="112" t="s">
        <v>30</v>
      </c>
    </row>
    <row r="13" spans="1:20" x14ac:dyDescent="0.45">
      <c r="A13" s="57" t="s">
        <v>118</v>
      </c>
      <c r="B13" s="68"/>
      <c r="C13" s="10"/>
      <c r="D13" s="10"/>
      <c r="E13" s="10"/>
      <c r="F13" s="10"/>
      <c r="G13" s="88">
        <v>1000</v>
      </c>
      <c r="H13" s="94">
        <f>IF($C13="O",ROUND(ROUND(G13,2)*'Parameters '!$C$1,2),ROUND(G13,2))</f>
        <v>1000</v>
      </c>
      <c r="I13" s="88"/>
      <c r="J13" s="94">
        <f>IF($C13="O",ROUND(ROUND(I13,2)*'Parameters '!$C$1,2),ROUND(I13,2))</f>
        <v>0</v>
      </c>
      <c r="K13" s="88"/>
      <c r="L13" s="94">
        <f>IF($C13="O",ROUND(ROUND(K13,2)*'Parameters '!$C$1,2),ROUND(K13,2))</f>
        <v>0</v>
      </c>
      <c r="M13" s="88"/>
      <c r="N13" s="94">
        <f>IF($C13="O",ROUND(ROUND(M13,2)*'Parameters '!$C$1,2),ROUND(M13,2))</f>
        <v>0</v>
      </c>
      <c r="O13" s="88"/>
      <c r="P13" s="94">
        <f>IF($C13="O",ROUND(ROUND(O13,2)*'Parameters '!$C$1,2),ROUND(O13,2))</f>
        <v>0</v>
      </c>
      <c r="Q13" s="116"/>
      <c r="T13" s="15" t="s">
        <v>31</v>
      </c>
    </row>
    <row r="14" spans="1:20" x14ac:dyDescent="0.45">
      <c r="A14" s="57" t="s">
        <v>90</v>
      </c>
      <c r="B14" s="68"/>
      <c r="C14" s="10"/>
      <c r="D14" s="10"/>
      <c r="E14" s="10"/>
      <c r="F14" s="10"/>
      <c r="G14" s="88"/>
      <c r="H14" s="94">
        <f>IF($C14="O",ROUND(ROUND(G14,2)*'Parameters '!$C$1,2),ROUND(G14,2))</f>
        <v>0</v>
      </c>
      <c r="I14" s="88"/>
      <c r="J14" s="94">
        <f>IF($C14="O",ROUND(ROUND(I14,2)*'Parameters '!$C$1,2),ROUND(I14,2))</f>
        <v>0</v>
      </c>
      <c r="K14" s="88"/>
      <c r="L14" s="94">
        <f>IF($C14="O",ROUND(ROUND(K14,2)*'Parameters '!$C$1,2),ROUND(K14,2))</f>
        <v>0</v>
      </c>
      <c r="M14" s="88"/>
      <c r="N14" s="94">
        <f>IF($C14="O",ROUND(ROUND(M14,2)*'Parameters '!$C$1,2),ROUND(M14,2))</f>
        <v>0</v>
      </c>
      <c r="O14" s="88"/>
      <c r="P14" s="94">
        <f>IF($C14="O",ROUND(ROUND(O14,2)*'Parameters '!$C$1,2),ROUND(O14,2))</f>
        <v>0</v>
      </c>
      <c r="Q14" s="116"/>
      <c r="T14" s="15" t="s">
        <v>32</v>
      </c>
    </row>
    <row r="15" spans="1:20" x14ac:dyDescent="0.45">
      <c r="A15" s="57" t="s">
        <v>91</v>
      </c>
      <c r="B15" s="70"/>
      <c r="C15" s="10"/>
      <c r="D15" s="42"/>
      <c r="E15" s="42"/>
      <c r="F15" s="42"/>
      <c r="G15" s="88"/>
      <c r="H15" s="94">
        <f>IF($C15="O",ROUND(ROUND(G15,2)*'Parameters '!$C$1,2),ROUND(G15,2))</f>
        <v>0</v>
      </c>
      <c r="I15" s="88"/>
      <c r="J15" s="94">
        <f>IF($C15="O",ROUND(ROUND(I15,2)*'Parameters '!$C$1,2),ROUND(I15,2))</f>
        <v>0</v>
      </c>
      <c r="K15" s="88"/>
      <c r="L15" s="94">
        <f>IF($C15="O",ROUND(ROUND(K15,2)*'Parameters '!$C$1,2),ROUND(K15,2))</f>
        <v>0</v>
      </c>
      <c r="M15" s="88"/>
      <c r="N15" s="94">
        <f>IF($C15="O",ROUND(ROUND(M15,2)*'Parameters '!$C$1,2),ROUND(M15,2))</f>
        <v>0</v>
      </c>
      <c r="O15" s="88"/>
      <c r="P15" s="94">
        <f>IF($C15="O",ROUND(ROUND(O15,2)*'Parameters '!$C$1,2),ROUND(O15,2))</f>
        <v>0</v>
      </c>
      <c r="Q15" s="117" t="s">
        <v>7</v>
      </c>
      <c r="T15" s="59" t="s">
        <v>33</v>
      </c>
    </row>
    <row r="16" spans="1:20" ht="21.7" customHeight="1" x14ac:dyDescent="0.45">
      <c r="A16" s="142" t="s">
        <v>78</v>
      </c>
      <c r="B16" s="143"/>
      <c r="C16" s="143"/>
      <c r="D16" s="143"/>
      <c r="E16" s="143"/>
      <c r="F16" s="144"/>
      <c r="G16" s="89">
        <f t="shared" ref="G16:P16" si="0">SUM(G11:G15)</f>
        <v>6350</v>
      </c>
      <c r="H16" s="93">
        <f t="shared" si="0"/>
        <v>6654.3099999999995</v>
      </c>
      <c r="I16" s="89">
        <f t="shared" si="0"/>
        <v>0</v>
      </c>
      <c r="J16" s="93">
        <f t="shared" si="0"/>
        <v>0</v>
      </c>
      <c r="K16" s="89">
        <f t="shared" si="0"/>
        <v>0</v>
      </c>
      <c r="L16" s="93">
        <f t="shared" si="0"/>
        <v>0</v>
      </c>
      <c r="M16" s="89">
        <f t="shared" si="0"/>
        <v>0</v>
      </c>
      <c r="N16" s="93">
        <f t="shared" si="0"/>
        <v>0</v>
      </c>
      <c r="O16" s="89">
        <f t="shared" si="0"/>
        <v>0</v>
      </c>
      <c r="P16" s="93">
        <f t="shared" si="0"/>
        <v>0</v>
      </c>
      <c r="Q16" s="118" t="s">
        <v>7</v>
      </c>
      <c r="T16" s="83" t="s">
        <v>36</v>
      </c>
    </row>
    <row r="17" spans="1:20" x14ac:dyDescent="0.45">
      <c r="A17" s="58"/>
      <c r="B17" s="71"/>
      <c r="C17" s="10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117"/>
      <c r="T17" s="83" t="s">
        <v>37</v>
      </c>
    </row>
    <row r="18" spans="1:20" x14ac:dyDescent="0.45">
      <c r="A18" s="158" t="s">
        <v>77</v>
      </c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60"/>
      <c r="Q18" s="115"/>
      <c r="T18" s="83" t="s">
        <v>38</v>
      </c>
    </row>
    <row r="19" spans="1:20" s="111" customFormat="1" x14ac:dyDescent="0.45">
      <c r="A19" s="57" t="s">
        <v>92</v>
      </c>
      <c r="B19" s="107"/>
      <c r="C19" s="108" t="s">
        <v>2</v>
      </c>
      <c r="D19" s="109"/>
      <c r="E19" s="109"/>
      <c r="F19" s="109"/>
      <c r="G19" s="110">
        <v>9000</v>
      </c>
      <c r="H19" s="125">
        <f>IF($C19="O",ROUND(ROUND(G19,2)*'Parameters '!$C$1,2),ROUND(G19,2))</f>
        <v>9511.91</v>
      </c>
      <c r="I19" s="110"/>
      <c r="J19" s="125">
        <f>IF($C19="O",ROUND(ROUND(I19,2)*'Parameters '!$C$1,2),ROUND(I19,2))</f>
        <v>0</v>
      </c>
      <c r="K19" s="110"/>
      <c r="L19" s="125">
        <f>IF($C19="O",ROUND(ROUND(K19,2)*'Parameters '!$C$1,2),ROUND(K19,2))</f>
        <v>0</v>
      </c>
      <c r="M19" s="110"/>
      <c r="N19" s="125">
        <f>IF($C19="O",ROUND(ROUND(M19,2)*'Parameters '!$C$1,2),ROUND(M19,2))</f>
        <v>0</v>
      </c>
      <c r="O19" s="110"/>
      <c r="P19" s="125">
        <f>IF($C19="O",ROUND(ROUND(O19,2)*'Parameters '!$C$1,2),ROUND(O19,2))</f>
        <v>0</v>
      </c>
      <c r="Q19" s="127"/>
      <c r="T19" s="112" t="s">
        <v>39</v>
      </c>
    </row>
    <row r="20" spans="1:20" s="111" customFormat="1" x14ac:dyDescent="0.45">
      <c r="A20" s="57" t="s">
        <v>93</v>
      </c>
      <c r="B20" s="107"/>
      <c r="C20" s="108" t="s">
        <v>2</v>
      </c>
      <c r="D20" s="109"/>
      <c r="E20" s="109"/>
      <c r="F20" s="109"/>
      <c r="G20" s="110">
        <v>6000</v>
      </c>
      <c r="H20" s="125">
        <f>IF($C20="O",ROUND(ROUND(G20,2)*'Parameters '!$C$1,2),ROUND(G20,2))</f>
        <v>6341.27</v>
      </c>
      <c r="I20" s="110"/>
      <c r="J20" s="125">
        <f>IF($C20="O",ROUND(ROUND(I20,2)*'Parameters '!$C$1,2),ROUND(I20,2))</f>
        <v>0</v>
      </c>
      <c r="K20" s="110"/>
      <c r="L20" s="125">
        <f>IF($C20="O",ROUND(ROUND(K20,2)*'Parameters '!$C$1,2),ROUND(K20,2))</f>
        <v>0</v>
      </c>
      <c r="M20" s="110"/>
      <c r="N20" s="125">
        <f>IF($C20="O",ROUND(ROUND(M20,2)*'Parameters '!$C$1,2),ROUND(M20,2))</f>
        <v>0</v>
      </c>
      <c r="O20" s="110"/>
      <c r="P20" s="125">
        <f>IF($C20="O",ROUND(ROUND(O20,2)*'Parameters '!$C$1,2),ROUND(O20,2))</f>
        <v>0</v>
      </c>
      <c r="Q20" s="127"/>
      <c r="T20" s="111" t="s">
        <v>34</v>
      </c>
    </row>
    <row r="21" spans="1:20" x14ac:dyDescent="0.45">
      <c r="A21" s="142" t="s">
        <v>76</v>
      </c>
      <c r="B21" s="143"/>
      <c r="C21" s="143"/>
      <c r="D21" s="143"/>
      <c r="E21" s="143"/>
      <c r="F21" s="144"/>
      <c r="G21" s="89">
        <f t="shared" ref="G21:P21" si="1">SUM(G19:G20)</f>
        <v>15000</v>
      </c>
      <c r="H21" s="93">
        <f t="shared" si="1"/>
        <v>15853.18</v>
      </c>
      <c r="I21" s="89">
        <f t="shared" si="1"/>
        <v>0</v>
      </c>
      <c r="J21" s="93">
        <f t="shared" si="1"/>
        <v>0</v>
      </c>
      <c r="K21" s="89">
        <f t="shared" si="1"/>
        <v>0</v>
      </c>
      <c r="L21" s="93">
        <f t="shared" si="1"/>
        <v>0</v>
      </c>
      <c r="M21" s="89">
        <f t="shared" si="1"/>
        <v>0</v>
      </c>
      <c r="N21" s="93">
        <f t="shared" si="1"/>
        <v>0</v>
      </c>
      <c r="O21" s="89">
        <f t="shared" si="1"/>
        <v>0</v>
      </c>
      <c r="P21" s="93">
        <f t="shared" si="1"/>
        <v>0</v>
      </c>
      <c r="Q21" s="119"/>
      <c r="T21" s="13" t="s">
        <v>35</v>
      </c>
    </row>
    <row r="22" spans="1:20" x14ac:dyDescent="0.45">
      <c r="A22" s="58"/>
      <c r="B22" s="70"/>
      <c r="C22" s="10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117"/>
      <c r="T22" s="13" t="s">
        <v>40</v>
      </c>
    </row>
    <row r="23" spans="1:20" x14ac:dyDescent="0.45">
      <c r="A23" s="151" t="s">
        <v>75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3"/>
      <c r="Q23" s="120"/>
      <c r="T23" s="13" t="s">
        <v>41</v>
      </c>
    </row>
    <row r="24" spans="1:20" x14ac:dyDescent="0.45">
      <c r="A24" s="57" t="s">
        <v>88</v>
      </c>
      <c r="B24" s="16"/>
      <c r="C24" s="10"/>
      <c r="D24" s="73"/>
      <c r="E24" s="73"/>
      <c r="F24" s="73"/>
      <c r="G24" s="88"/>
      <c r="H24" s="94">
        <f>IF($C24="O",ROUND(ROUND(G24,2)*'Parameters '!$C$1,2),ROUND(G24,2))</f>
        <v>0</v>
      </c>
      <c r="I24" s="88"/>
      <c r="J24" s="94">
        <f>IF($C24="O",ROUND(ROUND(I24,2)*'Parameters '!$C$1,2),ROUND(I24,2))</f>
        <v>0</v>
      </c>
      <c r="K24" s="88"/>
      <c r="L24" s="94">
        <f>IF($C24="O",ROUND(ROUND(K24,2)*'Parameters '!$C$1,2),ROUND(K24,2))</f>
        <v>0</v>
      </c>
      <c r="M24" s="88"/>
      <c r="N24" s="94">
        <f>IF($C24="O",ROUND(ROUND(M24,2)*'Parameters '!$C$1,2),ROUND(M24,2))</f>
        <v>0</v>
      </c>
      <c r="O24" s="88"/>
      <c r="P24" s="94">
        <f>IF($C24="O",ROUND(ROUND(O24,2)*'Parameters '!$C$1,2),ROUND(O24,2))</f>
        <v>0</v>
      </c>
      <c r="Q24" s="117"/>
      <c r="T24" s="13" t="s">
        <v>42</v>
      </c>
    </row>
    <row r="25" spans="1:20" x14ac:dyDescent="0.45">
      <c r="A25" s="57" t="s">
        <v>89</v>
      </c>
      <c r="B25" s="68"/>
      <c r="C25" s="10"/>
      <c r="D25" s="72"/>
      <c r="E25" s="72"/>
      <c r="F25" s="68"/>
      <c r="G25" s="88"/>
      <c r="H25" s="94">
        <f>IF($C25="O",ROUND(ROUND(G25,2)*'Parameters '!$C$1,2),ROUND(G25,2))</f>
        <v>0</v>
      </c>
      <c r="I25" s="88"/>
      <c r="J25" s="94">
        <f>IF($C25="O",ROUND(ROUND(I25,2)*'Parameters '!$C$1,2),ROUND(I25,2))</f>
        <v>0</v>
      </c>
      <c r="K25" s="88"/>
      <c r="L25" s="94">
        <f>IF($C25="O",ROUND(ROUND(K25,2)*'Parameters '!$C$1,2),ROUND(K25,2))</f>
        <v>0</v>
      </c>
      <c r="M25" s="88"/>
      <c r="N25" s="94">
        <f>IF($C25="O",ROUND(ROUND(M25,2)*'Parameters '!$C$1,2),ROUND(M25,2))</f>
        <v>0</v>
      </c>
      <c r="O25" s="88"/>
      <c r="P25" s="94">
        <f>IF($C25="O",ROUND(ROUND(O25,2)*'Parameters '!$C$1,2),ROUND(O25,2))</f>
        <v>0</v>
      </c>
      <c r="Q25" s="74"/>
      <c r="T25" s="13" t="s">
        <v>43</v>
      </c>
    </row>
    <row r="26" spans="1:20" ht="21.7" customHeight="1" x14ac:dyDescent="0.45">
      <c r="A26" s="142" t="s">
        <v>71</v>
      </c>
      <c r="B26" s="143"/>
      <c r="C26" s="143"/>
      <c r="D26" s="143"/>
      <c r="E26" s="143"/>
      <c r="F26" s="144"/>
      <c r="G26" s="89">
        <f t="shared" ref="G26:P26" si="2">SUM(G24:G25)</f>
        <v>0</v>
      </c>
      <c r="H26" s="93">
        <f t="shared" si="2"/>
        <v>0</v>
      </c>
      <c r="I26" s="89">
        <f t="shared" si="2"/>
        <v>0</v>
      </c>
      <c r="J26" s="93">
        <f t="shared" si="2"/>
        <v>0</v>
      </c>
      <c r="K26" s="89">
        <f t="shared" si="2"/>
        <v>0</v>
      </c>
      <c r="L26" s="93">
        <f t="shared" si="2"/>
        <v>0</v>
      </c>
      <c r="M26" s="89">
        <f t="shared" si="2"/>
        <v>0</v>
      </c>
      <c r="N26" s="93">
        <f t="shared" si="2"/>
        <v>0</v>
      </c>
      <c r="O26" s="89">
        <f t="shared" si="2"/>
        <v>0</v>
      </c>
      <c r="P26" s="93">
        <f t="shared" si="2"/>
        <v>0</v>
      </c>
      <c r="Q26" s="117"/>
      <c r="T26" s="13" t="s">
        <v>44</v>
      </c>
    </row>
    <row r="27" spans="1:20" ht="19.5" customHeight="1" x14ac:dyDescent="0.45">
      <c r="A27" s="154" t="s">
        <v>72</v>
      </c>
      <c r="B27" s="155"/>
      <c r="C27" s="155"/>
      <c r="D27" s="155"/>
      <c r="E27" s="155"/>
      <c r="F27" s="156"/>
      <c r="G27" s="100">
        <f t="shared" ref="G27:P27" si="3">G16+G21+G26</f>
        <v>21350</v>
      </c>
      <c r="H27" s="100">
        <f t="shared" si="3"/>
        <v>22507.489999999998</v>
      </c>
      <c r="I27" s="100">
        <f t="shared" si="3"/>
        <v>0</v>
      </c>
      <c r="J27" s="100">
        <f t="shared" si="3"/>
        <v>0</v>
      </c>
      <c r="K27" s="100">
        <f t="shared" si="3"/>
        <v>0</v>
      </c>
      <c r="L27" s="100">
        <f t="shared" si="3"/>
        <v>0</v>
      </c>
      <c r="M27" s="100">
        <f t="shared" si="3"/>
        <v>0</v>
      </c>
      <c r="N27" s="100">
        <f t="shared" si="3"/>
        <v>0</v>
      </c>
      <c r="O27" s="100">
        <f t="shared" si="3"/>
        <v>0</v>
      </c>
      <c r="P27" s="100">
        <f t="shared" si="3"/>
        <v>0</v>
      </c>
      <c r="Q27" s="99"/>
      <c r="R27" s="62"/>
      <c r="T27" s="13" t="s">
        <v>45</v>
      </c>
    </row>
    <row r="28" spans="1:20" ht="21.7" customHeight="1" x14ac:dyDescent="0.45">
      <c r="A28" s="147" t="s">
        <v>73</v>
      </c>
      <c r="B28" s="147"/>
      <c r="C28" s="147"/>
      <c r="D28" s="147"/>
      <c r="E28" s="147"/>
      <c r="F28" s="147"/>
      <c r="G28" s="145">
        <f>SUM(G27,I27,K27,M27,O27)</f>
        <v>21350</v>
      </c>
      <c r="H28" s="146"/>
      <c r="I28" s="146"/>
      <c r="J28" s="146"/>
      <c r="K28" s="146"/>
      <c r="L28" s="146"/>
      <c r="M28" s="146"/>
      <c r="N28" s="146"/>
      <c r="O28" s="146"/>
      <c r="P28" s="146"/>
      <c r="Q28" s="99"/>
      <c r="R28" s="62"/>
      <c r="T28" s="13" t="s">
        <v>46</v>
      </c>
    </row>
    <row r="29" spans="1:20" ht="21.7" customHeight="1" x14ac:dyDescent="0.45">
      <c r="A29" s="147" t="s">
        <v>74</v>
      </c>
      <c r="B29" s="147"/>
      <c r="C29" s="147"/>
      <c r="D29" s="147"/>
      <c r="E29" s="147"/>
      <c r="F29" s="147"/>
      <c r="G29" s="148">
        <f>SUM(H27,J27,L27,N27,P27)</f>
        <v>22507.489999999998</v>
      </c>
      <c r="H29" s="149"/>
      <c r="I29" s="149"/>
      <c r="J29" s="149"/>
      <c r="K29" s="149"/>
      <c r="L29" s="149"/>
      <c r="M29" s="149"/>
      <c r="N29" s="149"/>
      <c r="O29" s="149"/>
      <c r="P29" s="150"/>
      <c r="Q29" s="73"/>
      <c r="R29" s="62"/>
      <c r="T29" s="13" t="s">
        <v>47</v>
      </c>
    </row>
    <row r="30" spans="1:20" x14ac:dyDescent="0.45">
      <c r="A30" s="75"/>
      <c r="B30" s="76"/>
      <c r="C30" s="55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121"/>
      <c r="R30" s="62"/>
      <c r="T30" s="13" t="s">
        <v>48</v>
      </c>
    </row>
    <row r="31" spans="1:20" x14ac:dyDescent="0.45">
      <c r="A31" s="75"/>
      <c r="B31" s="76"/>
      <c r="C31" s="55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121"/>
      <c r="R31" s="62"/>
      <c r="S31" s="62"/>
      <c r="T31" s="13" t="s">
        <v>49</v>
      </c>
    </row>
    <row r="32" spans="1:20" x14ac:dyDescent="0.45">
      <c r="A32" s="75"/>
      <c r="B32" s="76"/>
      <c r="C32" s="55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121"/>
      <c r="R32" s="62"/>
      <c r="S32" s="62"/>
      <c r="T32" s="13" t="s">
        <v>50</v>
      </c>
    </row>
    <row r="33" spans="1:20" x14ac:dyDescent="0.45">
      <c r="A33" s="75"/>
      <c r="B33" s="76"/>
      <c r="C33" s="55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121"/>
      <c r="R33" s="62"/>
      <c r="S33" s="62"/>
      <c r="T33" s="15" t="s">
        <v>52</v>
      </c>
    </row>
    <row r="34" spans="1:20" x14ac:dyDescent="0.45">
      <c r="A34" s="77"/>
      <c r="B34" s="78"/>
      <c r="C34" s="55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121"/>
      <c r="R34" s="62"/>
      <c r="S34" s="62"/>
      <c r="T34" s="15" t="s">
        <v>53</v>
      </c>
    </row>
    <row r="35" spans="1:20" x14ac:dyDescent="0.45">
      <c r="A35" s="80"/>
      <c r="B35" s="81"/>
      <c r="C35" s="55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121"/>
      <c r="R35" s="62"/>
      <c r="S35" s="62"/>
    </row>
    <row r="36" spans="1:20" x14ac:dyDescent="0.45">
      <c r="A36" s="82"/>
      <c r="B36" s="82"/>
      <c r="C36" s="55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79"/>
      <c r="R36" s="62"/>
      <c r="S36" s="62"/>
    </row>
    <row r="37" spans="1:20" x14ac:dyDescent="0.45">
      <c r="A37" s="75"/>
      <c r="B37" s="76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121"/>
      <c r="R37" s="62"/>
      <c r="S37" s="62"/>
    </row>
    <row r="38" spans="1:20" x14ac:dyDescent="0.45">
      <c r="A38" s="75"/>
      <c r="B38" s="76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121"/>
      <c r="R38" s="62"/>
      <c r="S38" s="62"/>
    </row>
    <row r="39" spans="1:20" x14ac:dyDescent="0.45">
      <c r="A39" s="77"/>
      <c r="B39" s="78"/>
      <c r="C39" s="55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121"/>
      <c r="R39" s="62"/>
      <c r="S39" s="62"/>
    </row>
    <row r="40" spans="1:20" x14ac:dyDescent="0.45">
      <c r="A40" s="79"/>
      <c r="B40" s="79"/>
      <c r="C40" s="55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121"/>
      <c r="R40" s="62"/>
      <c r="S40" s="62"/>
    </row>
    <row r="41" spans="1:20" x14ac:dyDescent="0.4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122"/>
      <c r="R41" s="62"/>
      <c r="S41" s="62"/>
    </row>
    <row r="42" spans="1:20" x14ac:dyDescent="0.4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122"/>
      <c r="R42" s="62"/>
      <c r="S42" s="62"/>
    </row>
    <row r="43" spans="1:20" x14ac:dyDescent="0.4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122"/>
      <c r="R43" s="62"/>
      <c r="S43" s="62"/>
    </row>
  </sheetData>
  <sheetProtection selectLockedCells="1"/>
  <protectedRanges>
    <protectedRange sqref="S2" name="Plage5_1_1"/>
  </protectedRanges>
  <dataConsolidate/>
  <mergeCells count="25">
    <mergeCell ref="A6:Q6"/>
    <mergeCell ref="A1:Q1"/>
    <mergeCell ref="A10:P10"/>
    <mergeCell ref="A18:P18"/>
    <mergeCell ref="A16:F16"/>
    <mergeCell ref="Q8:Q9"/>
    <mergeCell ref="G8:H8"/>
    <mergeCell ref="I8:J8"/>
    <mergeCell ref="K8:L8"/>
    <mergeCell ref="M8:N8"/>
    <mergeCell ref="O8:P8"/>
    <mergeCell ref="A8:A9"/>
    <mergeCell ref="B8:B9"/>
    <mergeCell ref="C8:C9"/>
    <mergeCell ref="D8:D9"/>
    <mergeCell ref="F8:F9"/>
    <mergeCell ref="E8:E9"/>
    <mergeCell ref="A21:F21"/>
    <mergeCell ref="G28:P28"/>
    <mergeCell ref="A29:F29"/>
    <mergeCell ref="G29:P29"/>
    <mergeCell ref="A23:P23"/>
    <mergeCell ref="A28:F28"/>
    <mergeCell ref="A27:F27"/>
    <mergeCell ref="A26:F26"/>
  </mergeCells>
  <dataValidations count="3">
    <dataValidation type="list" allowBlank="1" showInputMessage="1" showErrorMessage="1" sqref="C24:C25 C11:C15 C19:C20" xr:uid="{00000000-0002-0000-0300-000000000000}">
      <formula1>Reponse</formula1>
    </dataValidation>
    <dataValidation type="list" allowBlank="1" showInputMessage="1" showErrorMessage="1" sqref="B24:B25 B11:B15 B19:B20" xr:uid="{00000000-0002-0000-0300-000001000000}">
      <formula1>$S$2:$S$9</formula1>
    </dataValidation>
    <dataValidation type="list" allowBlank="1" showInputMessage="1" showErrorMessage="1" sqref="F24:F25 F19:F20 F11:F15" xr:uid="{00000000-0002-0000-0300-000002000000}">
      <formula1>$T$2:$T$34</formula1>
    </dataValidation>
  </dataValidations>
  <pageMargins left="0" right="0" top="0" bottom="0" header="0.3" footer="0.3"/>
  <pageSetup paperSize="17" scale="9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6"/>
  <sheetViews>
    <sheetView tabSelected="1" topLeftCell="A97" zoomScaleNormal="100" workbookViewId="0">
      <selection activeCell="G71" sqref="G71"/>
    </sheetView>
  </sheetViews>
  <sheetFormatPr defaultColWidth="9.19921875" defaultRowHeight="14.25" outlineLevelRow="1" x14ac:dyDescent="0.45"/>
  <cols>
    <col min="1" max="1" width="16.19921875" style="20" customWidth="1"/>
    <col min="2" max="2" width="18" style="17" bestFit="1" customWidth="1"/>
    <col min="3" max="3" width="16.73046875" style="21" customWidth="1"/>
    <col min="4" max="4" width="16.19921875" style="21" customWidth="1"/>
    <col min="5" max="5" width="14.46484375" style="21" customWidth="1"/>
    <col min="6" max="6" width="14" style="24" customWidth="1"/>
    <col min="7" max="7" width="21" style="52" bestFit="1" customWidth="1"/>
    <col min="8" max="16384" width="9.19921875" style="17"/>
  </cols>
  <sheetData>
    <row r="1" spans="1:9" ht="15" customHeight="1" x14ac:dyDescent="0.45">
      <c r="A1" s="177" t="s">
        <v>115</v>
      </c>
      <c r="B1" s="177"/>
      <c r="C1" s="177"/>
      <c r="D1" s="22"/>
      <c r="E1" s="22"/>
      <c r="F1" s="37" t="s">
        <v>95</v>
      </c>
      <c r="G1" s="48" t="s">
        <v>68</v>
      </c>
    </row>
    <row r="2" spans="1:9" ht="15" customHeight="1" x14ac:dyDescent="0.45">
      <c r="A2" s="177" t="s">
        <v>116</v>
      </c>
      <c r="B2" s="177"/>
      <c r="C2" s="177"/>
      <c r="D2" s="98"/>
      <c r="E2" s="98"/>
      <c r="F2" s="38"/>
      <c r="G2" s="86"/>
    </row>
    <row r="3" spans="1:9" ht="15" customHeight="1" x14ac:dyDescent="0.45">
      <c r="A3" s="178"/>
      <c r="B3" s="178"/>
      <c r="C3" s="178"/>
      <c r="D3" s="29"/>
      <c r="E3" s="36"/>
      <c r="F3" s="38"/>
      <c r="G3" s="86"/>
    </row>
    <row r="4" spans="1:9" x14ac:dyDescent="0.45">
      <c r="A4" s="178"/>
      <c r="B4" s="178"/>
      <c r="C4" s="178"/>
      <c r="D4" s="29"/>
      <c r="E4" s="36"/>
      <c r="F4" s="38"/>
      <c r="G4" s="49"/>
    </row>
    <row r="5" spans="1:9" x14ac:dyDescent="0.45">
      <c r="A5" s="178"/>
      <c r="B5" s="178"/>
      <c r="C5" s="178"/>
      <c r="D5" s="29"/>
      <c r="E5" s="36"/>
      <c r="F5" s="38"/>
      <c r="G5" s="49"/>
    </row>
    <row r="6" spans="1:9" x14ac:dyDescent="0.45">
      <c r="A6" s="87" t="s">
        <v>96</v>
      </c>
      <c r="B6" s="169">
        <f>'Budget Execution'!G27</f>
        <v>21350</v>
      </c>
      <c r="C6" s="170"/>
      <c r="D6" s="29"/>
      <c r="E6" s="36"/>
      <c r="F6" s="38"/>
      <c r="G6" s="49"/>
    </row>
    <row r="7" spans="1:9" x14ac:dyDescent="0.45">
      <c r="A7" s="87" t="s">
        <v>97</v>
      </c>
      <c r="B7" s="171">
        <f>D19+D28+D37+D46+D55+D66+D75+D84+D93+D102+D111+D120+D129+D138+D147+D158+D167+D176+D185+D194</f>
        <v>17130</v>
      </c>
      <c r="C7" s="170"/>
      <c r="D7" s="29"/>
      <c r="E7" s="36"/>
      <c r="F7" s="38"/>
      <c r="G7" s="49"/>
    </row>
    <row r="8" spans="1:9" x14ac:dyDescent="0.45">
      <c r="A8" s="87" t="s">
        <v>102</v>
      </c>
      <c r="B8" s="171">
        <f>B6-B7</f>
        <v>4220</v>
      </c>
      <c r="C8" s="170"/>
      <c r="D8" s="29"/>
      <c r="E8" s="46"/>
      <c r="F8" s="38"/>
      <c r="G8" s="50"/>
    </row>
    <row r="9" spans="1:9" x14ac:dyDescent="0.45">
      <c r="A9" s="44"/>
      <c r="B9" s="44"/>
      <c r="C9" s="45"/>
      <c r="D9" s="29"/>
      <c r="E9" s="46"/>
      <c r="F9" s="38"/>
      <c r="G9" s="49"/>
    </row>
    <row r="10" spans="1:9" x14ac:dyDescent="0.45">
      <c r="A10" s="47" t="s">
        <v>94</v>
      </c>
      <c r="B10" s="47"/>
      <c r="C10" s="53"/>
      <c r="D10" s="53"/>
      <c r="E10" s="54"/>
      <c r="F10" s="86"/>
      <c r="G10" s="51"/>
      <c r="H10" s="23"/>
      <c r="I10" s="23"/>
    </row>
    <row r="11" spans="1:9" x14ac:dyDescent="0.45">
      <c r="A11" s="47" t="s">
        <v>79</v>
      </c>
      <c r="B11" s="47"/>
      <c r="C11" s="53"/>
      <c r="D11" s="53"/>
      <c r="E11" s="54"/>
      <c r="F11" s="38"/>
      <c r="G11" s="51"/>
      <c r="H11" s="23"/>
      <c r="I11" s="23"/>
    </row>
    <row r="12" spans="1:9" x14ac:dyDescent="0.45">
      <c r="A12" s="174" t="str">
        <f>'Budget Execution'!A11</f>
        <v>Project management</v>
      </c>
      <c r="B12" s="175"/>
      <c r="C12" s="175"/>
      <c r="D12" s="175"/>
      <c r="E12" s="176"/>
      <c r="F12" s="38"/>
      <c r="G12" s="51"/>
      <c r="H12" s="23"/>
      <c r="I12" s="23"/>
    </row>
    <row r="13" spans="1:9" outlineLevel="1" x14ac:dyDescent="0.45">
      <c r="A13" s="31" t="s">
        <v>8</v>
      </c>
      <c r="B13" s="18" t="s">
        <v>0</v>
      </c>
      <c r="C13" s="19" t="s">
        <v>100</v>
      </c>
      <c r="D13" s="19" t="s">
        <v>9</v>
      </c>
      <c r="E13" s="19" t="s">
        <v>102</v>
      </c>
      <c r="F13" s="38"/>
      <c r="G13" s="51"/>
      <c r="H13" s="23"/>
      <c r="I13" s="23"/>
    </row>
    <row r="14" spans="1:9" outlineLevel="1" x14ac:dyDescent="0.45">
      <c r="A14" s="32"/>
      <c r="B14" s="24" t="s">
        <v>58</v>
      </c>
      <c r="C14" s="90">
        <f>'Budget Execution'!G11</f>
        <v>350</v>
      </c>
      <c r="D14" s="22"/>
      <c r="E14" s="28"/>
      <c r="F14" s="38"/>
      <c r="G14" s="51"/>
      <c r="H14" s="23"/>
      <c r="I14" s="23"/>
    </row>
    <row r="15" spans="1:9" s="134" customFormat="1" outlineLevel="1" x14ac:dyDescent="0.45">
      <c r="A15" s="128"/>
      <c r="B15" s="129"/>
      <c r="C15" s="129"/>
      <c r="D15" s="130">
        <v>150</v>
      </c>
      <c r="E15" s="131"/>
      <c r="F15" s="132"/>
      <c r="G15" s="133"/>
      <c r="H15" s="135"/>
      <c r="I15" s="135"/>
    </row>
    <row r="16" spans="1:9" outlineLevel="1" x14ac:dyDescent="0.45">
      <c r="A16" s="32"/>
      <c r="B16" s="24"/>
      <c r="C16" s="92"/>
      <c r="D16" s="22"/>
      <c r="E16" s="28"/>
      <c r="F16" s="38"/>
      <c r="G16" s="51"/>
      <c r="H16" s="23"/>
      <c r="I16" s="23"/>
    </row>
    <row r="17" spans="1:9" outlineLevel="1" x14ac:dyDescent="0.45">
      <c r="A17" s="32"/>
      <c r="B17" s="24"/>
      <c r="C17" s="92"/>
      <c r="D17" s="22"/>
      <c r="E17" s="28"/>
      <c r="F17" s="38"/>
      <c r="G17" s="51"/>
      <c r="H17" s="23"/>
      <c r="I17" s="23"/>
    </row>
    <row r="18" spans="1:9" outlineLevel="1" x14ac:dyDescent="0.45">
      <c r="A18" s="33"/>
      <c r="B18" s="24"/>
      <c r="C18" s="91"/>
      <c r="D18" s="22"/>
      <c r="E18" s="28"/>
      <c r="F18" s="38"/>
      <c r="G18" s="51"/>
      <c r="H18" s="23"/>
      <c r="I18" s="23"/>
    </row>
    <row r="19" spans="1:9" x14ac:dyDescent="0.45">
      <c r="A19" s="172" t="s">
        <v>102</v>
      </c>
      <c r="B19" s="173"/>
      <c r="C19" s="25">
        <f>SUM(C14:C18)</f>
        <v>350</v>
      </c>
      <c r="D19" s="25">
        <f>SUM(D14:D18)</f>
        <v>150</v>
      </c>
      <c r="E19" s="26">
        <f>C19-D19</f>
        <v>200</v>
      </c>
      <c r="F19" s="38"/>
      <c r="G19" s="51"/>
      <c r="H19" s="23"/>
      <c r="I19" s="23"/>
    </row>
    <row r="20" spans="1:9" x14ac:dyDescent="0.45">
      <c r="A20" s="34"/>
      <c r="B20" s="35"/>
      <c r="C20" s="27"/>
      <c r="D20" s="27"/>
      <c r="E20" s="30"/>
      <c r="F20" s="38"/>
      <c r="G20" s="51"/>
      <c r="H20" s="23"/>
      <c r="I20" s="23"/>
    </row>
    <row r="21" spans="1:9" x14ac:dyDescent="0.45">
      <c r="A21" s="174" t="str">
        <f>'Budget Execution'!A12</f>
        <v xml:space="preserve">System management </v>
      </c>
      <c r="B21" s="175"/>
      <c r="C21" s="175"/>
      <c r="D21" s="175"/>
      <c r="E21" s="176"/>
      <c r="F21" s="38"/>
      <c r="G21" s="51"/>
    </row>
    <row r="22" spans="1:9" outlineLevel="1" x14ac:dyDescent="0.45">
      <c r="A22" s="31" t="s">
        <v>8</v>
      </c>
      <c r="B22" s="18" t="s">
        <v>0</v>
      </c>
      <c r="C22" s="19" t="s">
        <v>100</v>
      </c>
      <c r="D22" s="19" t="s">
        <v>9</v>
      </c>
      <c r="E22" s="19" t="s">
        <v>102</v>
      </c>
      <c r="F22" s="38"/>
      <c r="G22" s="51"/>
    </row>
    <row r="23" spans="1:9" outlineLevel="1" x14ac:dyDescent="0.45">
      <c r="A23" s="32"/>
      <c r="B23" s="24" t="s">
        <v>58</v>
      </c>
      <c r="C23" s="90">
        <f>'Budget Execution'!G12</f>
        <v>5000</v>
      </c>
      <c r="D23" s="22"/>
      <c r="E23" s="28"/>
      <c r="F23" s="38"/>
      <c r="G23" s="51"/>
    </row>
    <row r="24" spans="1:9" outlineLevel="1" x14ac:dyDescent="0.45">
      <c r="A24" s="32"/>
      <c r="B24" s="24"/>
      <c r="C24" s="92"/>
      <c r="D24" s="22">
        <v>4980</v>
      </c>
      <c r="E24" s="28"/>
      <c r="F24" s="38"/>
      <c r="G24" s="51"/>
    </row>
    <row r="25" spans="1:9" outlineLevel="1" x14ac:dyDescent="0.45">
      <c r="A25" s="32"/>
      <c r="B25" s="24"/>
      <c r="C25" s="92"/>
      <c r="D25" s="22"/>
      <c r="E25" s="28"/>
      <c r="F25" s="38"/>
      <c r="G25" s="51"/>
    </row>
    <row r="26" spans="1:9" outlineLevel="1" x14ac:dyDescent="0.45">
      <c r="A26" s="32"/>
      <c r="B26" s="24"/>
      <c r="C26" s="92"/>
      <c r="D26" s="22"/>
      <c r="E26" s="28"/>
      <c r="F26" s="38"/>
      <c r="G26" s="51"/>
    </row>
    <row r="27" spans="1:9" outlineLevel="1" x14ac:dyDescent="0.45">
      <c r="A27" s="33"/>
      <c r="B27" s="24"/>
      <c r="C27" s="91"/>
      <c r="D27" s="22"/>
      <c r="E27" s="28"/>
      <c r="F27" s="38"/>
      <c r="G27" s="51"/>
    </row>
    <row r="28" spans="1:9" x14ac:dyDescent="0.45">
      <c r="A28" s="172" t="s">
        <v>102</v>
      </c>
      <c r="B28" s="173"/>
      <c r="C28" s="25">
        <f>SUM(C23:C27)</f>
        <v>5000</v>
      </c>
      <c r="D28" s="25">
        <f>SUM(D23:D27)</f>
        <v>4980</v>
      </c>
      <c r="E28" s="26">
        <f>C28-D28</f>
        <v>20</v>
      </c>
      <c r="F28" s="38"/>
      <c r="G28" s="51"/>
    </row>
    <row r="29" spans="1:9" x14ac:dyDescent="0.45">
      <c r="A29" s="34"/>
      <c r="B29" s="35"/>
      <c r="C29" s="27"/>
      <c r="D29" s="27"/>
      <c r="E29" s="30"/>
      <c r="F29" s="38"/>
    </row>
    <row r="30" spans="1:9" x14ac:dyDescent="0.45">
      <c r="A30" s="174" t="str">
        <f>'Budget Execution'!A13</f>
        <v>Programmer</v>
      </c>
      <c r="B30" s="175"/>
      <c r="C30" s="175"/>
      <c r="D30" s="175"/>
      <c r="E30" s="176"/>
      <c r="F30" s="38"/>
      <c r="G30" s="51"/>
    </row>
    <row r="31" spans="1:9" x14ac:dyDescent="0.45">
      <c r="A31" s="31" t="s">
        <v>8</v>
      </c>
      <c r="B31" s="18" t="s">
        <v>0</v>
      </c>
      <c r="C31" s="19" t="s">
        <v>100</v>
      </c>
      <c r="D31" s="19" t="s">
        <v>9</v>
      </c>
      <c r="E31" s="19" t="s">
        <v>102</v>
      </c>
      <c r="F31" s="38"/>
      <c r="G31" s="51"/>
    </row>
    <row r="32" spans="1:9" outlineLevel="1" x14ac:dyDescent="0.45">
      <c r="A32" s="32"/>
      <c r="B32" s="24" t="s">
        <v>58</v>
      </c>
      <c r="C32" s="90">
        <f>'Budget Execution'!G13</f>
        <v>1000</v>
      </c>
      <c r="D32" s="22"/>
      <c r="E32" s="28"/>
      <c r="F32" s="38"/>
      <c r="G32" s="51"/>
    </row>
    <row r="33" spans="1:7" outlineLevel="1" x14ac:dyDescent="0.45">
      <c r="A33" s="32"/>
      <c r="B33" s="24"/>
      <c r="C33" s="92"/>
      <c r="D33" s="22">
        <v>1000</v>
      </c>
      <c r="E33" s="28"/>
      <c r="F33" s="38"/>
      <c r="G33" s="51"/>
    </row>
    <row r="34" spans="1:7" outlineLevel="1" x14ac:dyDescent="0.45">
      <c r="A34" s="32"/>
      <c r="B34" s="24"/>
      <c r="C34" s="92"/>
      <c r="D34" s="22"/>
      <c r="E34" s="28"/>
      <c r="F34" s="38"/>
      <c r="G34" s="51"/>
    </row>
    <row r="35" spans="1:7" outlineLevel="1" x14ac:dyDescent="0.45">
      <c r="A35" s="32"/>
      <c r="B35" s="24"/>
      <c r="C35" s="92"/>
      <c r="D35" s="22"/>
      <c r="E35" s="28"/>
      <c r="F35" s="38"/>
      <c r="G35" s="51"/>
    </row>
    <row r="36" spans="1:7" outlineLevel="1" x14ac:dyDescent="0.45">
      <c r="A36" s="33"/>
      <c r="B36" s="24"/>
      <c r="C36" s="91"/>
      <c r="D36" s="22"/>
      <c r="E36" s="28"/>
      <c r="F36" s="38"/>
      <c r="G36" s="51"/>
    </row>
    <row r="37" spans="1:7" x14ac:dyDescent="0.45">
      <c r="A37" s="172" t="s">
        <v>102</v>
      </c>
      <c r="B37" s="173"/>
      <c r="C37" s="25">
        <f>SUM(C32:C36)</f>
        <v>1000</v>
      </c>
      <c r="D37" s="25">
        <f>SUM(D32:D36)</f>
        <v>1000</v>
      </c>
      <c r="E37" s="26">
        <f>C37-D37</f>
        <v>0</v>
      </c>
      <c r="F37" s="38"/>
      <c r="G37" s="51"/>
    </row>
    <row r="38" spans="1:7" x14ac:dyDescent="0.45">
      <c r="A38" s="34"/>
      <c r="B38" s="35"/>
      <c r="C38" s="27"/>
      <c r="D38" s="27"/>
      <c r="E38" s="30"/>
      <c r="F38" s="38"/>
    </row>
    <row r="39" spans="1:7" x14ac:dyDescent="0.45">
      <c r="A39" s="174" t="str">
        <f>'Budget Execution'!A14</f>
        <v>Budget Execution item exploit 4</v>
      </c>
      <c r="B39" s="175"/>
      <c r="C39" s="175"/>
      <c r="D39" s="175"/>
      <c r="E39" s="176"/>
      <c r="F39" s="38"/>
      <c r="G39" s="51"/>
    </row>
    <row r="40" spans="1:7" x14ac:dyDescent="0.45">
      <c r="A40" s="31" t="s">
        <v>8</v>
      </c>
      <c r="B40" s="18" t="s">
        <v>0</v>
      </c>
      <c r="C40" s="19" t="s">
        <v>100</v>
      </c>
      <c r="D40" s="19" t="s">
        <v>9</v>
      </c>
      <c r="E40" s="19" t="s">
        <v>102</v>
      </c>
      <c r="F40" s="38"/>
      <c r="G40" s="51"/>
    </row>
    <row r="41" spans="1:7" outlineLevel="1" x14ac:dyDescent="0.45">
      <c r="A41" s="32"/>
      <c r="B41" s="24" t="s">
        <v>58</v>
      </c>
      <c r="C41" s="90">
        <f>'Budget Execution'!G14</f>
        <v>0</v>
      </c>
      <c r="D41" s="22"/>
      <c r="E41" s="28"/>
      <c r="F41" s="38"/>
      <c r="G41" s="51"/>
    </row>
    <row r="42" spans="1:7" outlineLevel="1" x14ac:dyDescent="0.45">
      <c r="A42" s="32"/>
      <c r="B42" s="24"/>
      <c r="C42" s="92"/>
      <c r="D42" s="22"/>
      <c r="E42" s="28"/>
      <c r="F42" s="38"/>
      <c r="G42" s="51"/>
    </row>
    <row r="43" spans="1:7" outlineLevel="1" x14ac:dyDescent="0.45">
      <c r="A43" s="32"/>
      <c r="B43" s="24"/>
      <c r="C43" s="92"/>
      <c r="D43" s="22"/>
      <c r="E43" s="28"/>
      <c r="F43" s="38"/>
      <c r="G43" s="51"/>
    </row>
    <row r="44" spans="1:7" outlineLevel="1" x14ac:dyDescent="0.45">
      <c r="A44" s="32"/>
      <c r="B44" s="24"/>
      <c r="C44" s="92"/>
      <c r="D44" s="22"/>
      <c r="E44" s="28"/>
      <c r="F44" s="38"/>
      <c r="G44" s="51"/>
    </row>
    <row r="45" spans="1:7" outlineLevel="1" x14ac:dyDescent="0.45">
      <c r="A45" s="33"/>
      <c r="B45" s="24"/>
      <c r="C45" s="91"/>
      <c r="D45" s="22"/>
      <c r="E45" s="28"/>
      <c r="F45" s="38"/>
      <c r="G45" s="51"/>
    </row>
    <row r="46" spans="1:7" x14ac:dyDescent="0.45">
      <c r="A46" s="172" t="s">
        <v>102</v>
      </c>
      <c r="B46" s="173"/>
      <c r="C46" s="25">
        <f>SUM(C41:C45)</f>
        <v>0</v>
      </c>
      <c r="D46" s="25">
        <f>SUM(D41:D45)</f>
        <v>0</v>
      </c>
      <c r="E46" s="26">
        <f>C46-D46</f>
        <v>0</v>
      </c>
      <c r="F46" s="38"/>
      <c r="G46" s="51"/>
    </row>
    <row r="47" spans="1:7" x14ac:dyDescent="0.45">
      <c r="A47" s="34"/>
      <c r="B47" s="35"/>
      <c r="C47" s="27"/>
      <c r="D47" s="27"/>
      <c r="E47" s="30"/>
      <c r="F47" s="38"/>
    </row>
    <row r="48" spans="1:7" x14ac:dyDescent="0.45">
      <c r="A48" s="174" t="str">
        <f>'Budget Execution'!A15</f>
        <v>Budget Execution item exploit 5</v>
      </c>
      <c r="B48" s="175"/>
      <c r="C48" s="175"/>
      <c r="D48" s="175"/>
      <c r="E48" s="176"/>
      <c r="F48" s="38"/>
      <c r="G48" s="51"/>
    </row>
    <row r="49" spans="1:7" x14ac:dyDescent="0.45">
      <c r="A49" s="31" t="s">
        <v>8</v>
      </c>
      <c r="B49" s="18" t="s">
        <v>0</v>
      </c>
      <c r="C49" s="19" t="s">
        <v>100</v>
      </c>
      <c r="D49" s="19" t="s">
        <v>9</v>
      </c>
      <c r="E49" s="19" t="s">
        <v>102</v>
      </c>
      <c r="F49" s="38"/>
      <c r="G49" s="51"/>
    </row>
    <row r="50" spans="1:7" outlineLevel="1" x14ac:dyDescent="0.45">
      <c r="A50" s="32"/>
      <c r="B50" s="24" t="s">
        <v>58</v>
      </c>
      <c r="C50" s="90">
        <f>'Budget Execution'!G15</f>
        <v>0</v>
      </c>
      <c r="D50" s="22"/>
      <c r="E50" s="28"/>
      <c r="F50" s="38"/>
      <c r="G50" s="51"/>
    </row>
    <row r="51" spans="1:7" outlineLevel="1" x14ac:dyDescent="0.45">
      <c r="A51" s="32"/>
      <c r="B51" s="24"/>
      <c r="C51" s="92"/>
      <c r="D51" s="22"/>
      <c r="E51" s="28"/>
      <c r="F51" s="38"/>
      <c r="G51" s="51"/>
    </row>
    <row r="52" spans="1:7" outlineLevel="1" x14ac:dyDescent="0.45">
      <c r="A52" s="32"/>
      <c r="B52" s="24"/>
      <c r="C52" s="92"/>
      <c r="D52" s="22"/>
      <c r="E52" s="28"/>
      <c r="F52" s="38"/>
      <c r="G52" s="51"/>
    </row>
    <row r="53" spans="1:7" outlineLevel="1" x14ac:dyDescent="0.45">
      <c r="A53" s="32"/>
      <c r="B53" s="24"/>
      <c r="C53" s="92"/>
      <c r="D53" s="22"/>
      <c r="E53" s="28"/>
      <c r="F53" s="38"/>
      <c r="G53" s="51"/>
    </row>
    <row r="54" spans="1:7" outlineLevel="1" x14ac:dyDescent="0.45">
      <c r="A54" s="33"/>
      <c r="B54" s="24"/>
      <c r="C54" s="91"/>
      <c r="D54" s="22"/>
      <c r="E54" s="28"/>
      <c r="F54" s="38"/>
      <c r="G54" s="51"/>
    </row>
    <row r="55" spans="1:7" x14ac:dyDescent="0.45">
      <c r="A55" s="172" t="s">
        <v>102</v>
      </c>
      <c r="B55" s="173"/>
      <c r="C55" s="25">
        <f>SUM(C50:C54)</f>
        <v>0</v>
      </c>
      <c r="D55" s="25">
        <f>SUM(D50:D54)</f>
        <v>0</v>
      </c>
      <c r="E55" s="26">
        <f>C55-D55</f>
        <v>0</v>
      </c>
      <c r="F55" s="38"/>
      <c r="G55" s="51"/>
    </row>
    <row r="56" spans="1:7" x14ac:dyDescent="0.45">
      <c r="A56" s="34"/>
      <c r="B56" s="35"/>
      <c r="C56" s="27"/>
      <c r="D56" s="27"/>
      <c r="E56" s="30"/>
      <c r="F56" s="38"/>
    </row>
    <row r="57" spans="1:7" x14ac:dyDescent="0.45">
      <c r="A57" s="47" t="s">
        <v>98</v>
      </c>
      <c r="B57" s="47"/>
      <c r="C57" s="53"/>
      <c r="D57" s="53"/>
      <c r="E57" s="54"/>
      <c r="F57" s="38"/>
      <c r="G57" s="51"/>
    </row>
    <row r="58" spans="1:7" x14ac:dyDescent="0.45">
      <c r="A58" s="47" t="s">
        <v>99</v>
      </c>
      <c r="B58" s="47"/>
      <c r="C58" s="53"/>
      <c r="D58" s="53"/>
      <c r="E58" s="54"/>
      <c r="F58" s="38"/>
      <c r="G58" s="51"/>
    </row>
    <row r="59" spans="1:7" x14ac:dyDescent="0.45">
      <c r="A59" s="101" t="str">
        <f>'Budget Execution'!A19</f>
        <v>12 hours for networking installation</v>
      </c>
      <c r="B59" s="102"/>
      <c r="C59" s="102"/>
      <c r="D59" s="102" t="s">
        <v>54</v>
      </c>
      <c r="E59" s="103"/>
      <c r="F59" s="38"/>
      <c r="G59" s="51"/>
    </row>
    <row r="60" spans="1:7" outlineLevel="1" x14ac:dyDescent="0.45">
      <c r="A60" s="31" t="s">
        <v>8</v>
      </c>
      <c r="B60" s="18" t="s">
        <v>0</v>
      </c>
      <c r="C60" s="19" t="s">
        <v>100</v>
      </c>
      <c r="D60" s="19" t="s">
        <v>9</v>
      </c>
      <c r="E60" s="19" t="s">
        <v>102</v>
      </c>
      <c r="F60" s="38"/>
      <c r="G60" s="51"/>
    </row>
    <row r="61" spans="1:7" ht="15" customHeight="1" outlineLevel="1" x14ac:dyDescent="0.45">
      <c r="A61" s="32"/>
      <c r="B61" s="24" t="s">
        <v>58</v>
      </c>
      <c r="C61" s="90">
        <f>'Budget Execution'!G19</f>
        <v>9000</v>
      </c>
      <c r="D61" s="22"/>
      <c r="E61" s="28"/>
      <c r="F61" s="38"/>
      <c r="G61" s="51"/>
    </row>
    <row r="62" spans="1:7" outlineLevel="1" x14ac:dyDescent="0.45">
      <c r="A62" s="128"/>
      <c r="B62" s="129" t="s">
        <v>63</v>
      </c>
      <c r="C62" s="129"/>
      <c r="D62" s="130">
        <v>5000</v>
      </c>
      <c r="E62" s="131"/>
      <c r="F62" s="132"/>
      <c r="G62" s="133">
        <f>D62*'Parameters '!C1</f>
        <v>5284.3949999999995</v>
      </c>
    </row>
    <row r="63" spans="1:7" outlineLevel="1" x14ac:dyDescent="0.45">
      <c r="A63" s="128"/>
      <c r="B63" s="129"/>
      <c r="C63" s="129"/>
      <c r="D63" s="130"/>
      <c r="E63" s="131"/>
      <c r="F63" s="132"/>
      <c r="G63" s="133">
        <f>D63*'Parameters '!C1</f>
        <v>0</v>
      </c>
    </row>
    <row r="64" spans="1:7" outlineLevel="1" x14ac:dyDescent="0.45">
      <c r="A64" s="128"/>
      <c r="B64" s="129"/>
      <c r="C64" s="136"/>
      <c r="D64" s="130"/>
      <c r="E64" s="131"/>
      <c r="F64" s="132"/>
      <c r="G64" s="133"/>
    </row>
    <row r="65" spans="1:9" outlineLevel="1" x14ac:dyDescent="0.45">
      <c r="A65" s="33"/>
      <c r="B65" s="24"/>
      <c r="C65" s="91"/>
      <c r="D65" s="22"/>
      <c r="E65" s="28"/>
      <c r="F65" s="38"/>
      <c r="G65" s="51"/>
    </row>
    <row r="66" spans="1:9" x14ac:dyDescent="0.45">
      <c r="A66" s="172" t="s">
        <v>102</v>
      </c>
      <c r="B66" s="173"/>
      <c r="C66" s="25">
        <f>SUM(C61:C65)</f>
        <v>9000</v>
      </c>
      <c r="D66" s="25">
        <f>SUM(D61:D65)</f>
        <v>5000</v>
      </c>
      <c r="E66" s="25">
        <f>C66-D66</f>
        <v>4000</v>
      </c>
      <c r="F66" s="38"/>
      <c r="G66" s="85"/>
    </row>
    <row r="67" spans="1:9" x14ac:dyDescent="0.45">
      <c r="F67" s="38"/>
    </row>
    <row r="68" spans="1:9" x14ac:dyDescent="0.45">
      <c r="A68" s="101" t="str">
        <f>'Budget Execution'!A20</f>
        <v>8 hours Remote Assist training (super users)</v>
      </c>
      <c r="B68" s="102"/>
      <c r="C68" s="102"/>
      <c r="D68" s="102" t="s">
        <v>54</v>
      </c>
      <c r="E68" s="102"/>
      <c r="F68" s="38"/>
      <c r="G68" s="85"/>
    </row>
    <row r="69" spans="1:9" x14ac:dyDescent="0.45">
      <c r="A69" s="31" t="s">
        <v>8</v>
      </c>
      <c r="B69" s="18" t="s">
        <v>0</v>
      </c>
      <c r="C69" s="19" t="s">
        <v>100</v>
      </c>
      <c r="D69" s="19" t="s">
        <v>9</v>
      </c>
      <c r="E69" s="19" t="s">
        <v>102</v>
      </c>
      <c r="F69" s="38"/>
      <c r="G69" s="51"/>
    </row>
    <row r="70" spans="1:9" ht="19.5" customHeight="1" outlineLevel="1" x14ac:dyDescent="0.45">
      <c r="A70" s="32"/>
      <c r="B70" s="24" t="s">
        <v>58</v>
      </c>
      <c r="C70" s="90">
        <f>'Budget Execution'!G20</f>
        <v>6000</v>
      </c>
      <c r="D70" s="22"/>
      <c r="E70" s="28"/>
      <c r="F70" s="38"/>
      <c r="G70" s="51"/>
    </row>
    <row r="71" spans="1:9" ht="17.25" customHeight="1" outlineLevel="1" x14ac:dyDescent="0.45">
      <c r="A71" s="128"/>
      <c r="B71" s="129" t="s">
        <v>61</v>
      </c>
      <c r="C71" s="129"/>
      <c r="D71" s="130">
        <v>500</v>
      </c>
      <c r="E71" s="131"/>
      <c r="F71" s="132"/>
      <c r="G71" s="133">
        <f>D71*'Parameters '!C1</f>
        <v>528.43949999999995</v>
      </c>
    </row>
    <row r="72" spans="1:9" outlineLevel="1" x14ac:dyDescent="0.45">
      <c r="A72" s="32"/>
      <c r="B72" s="24" t="s">
        <v>62</v>
      </c>
      <c r="C72" s="92"/>
      <c r="D72" s="22">
        <v>2500</v>
      </c>
      <c r="E72" s="28"/>
      <c r="F72" s="38"/>
      <c r="G72" s="51"/>
    </row>
    <row r="73" spans="1:9" outlineLevel="1" x14ac:dyDescent="0.45">
      <c r="A73" s="32"/>
      <c r="B73" s="129" t="s">
        <v>60</v>
      </c>
      <c r="C73" s="92"/>
      <c r="D73" s="130">
        <v>3000</v>
      </c>
      <c r="E73" s="28"/>
      <c r="F73" s="38"/>
      <c r="G73" s="133">
        <v>3449.25</v>
      </c>
    </row>
    <row r="74" spans="1:9" outlineLevel="1" x14ac:dyDescent="0.45">
      <c r="A74" s="33"/>
      <c r="B74" s="24"/>
      <c r="C74" s="91"/>
      <c r="D74" s="22"/>
      <c r="E74" s="28"/>
      <c r="F74" s="38"/>
      <c r="G74" s="51"/>
    </row>
    <row r="75" spans="1:9" x14ac:dyDescent="0.45">
      <c r="A75" s="172" t="s">
        <v>102</v>
      </c>
      <c r="B75" s="173"/>
      <c r="C75" s="25">
        <f>SUM(C70:C74)</f>
        <v>6000</v>
      </c>
      <c r="D75" s="25">
        <f>SUM(D70:D74)</f>
        <v>6000</v>
      </c>
      <c r="E75" s="25">
        <f>C75-D75</f>
        <v>0</v>
      </c>
      <c r="F75" s="38"/>
      <c r="G75" s="85"/>
    </row>
    <row r="76" spans="1:9" x14ac:dyDescent="0.45">
      <c r="F76" s="38"/>
      <c r="I76" s="17" t="s">
        <v>7</v>
      </c>
    </row>
    <row r="77" spans="1:9" x14ac:dyDescent="0.45">
      <c r="A77" s="101" t="e">
        <f>'Budget Execution'!#REF!</f>
        <v>#REF!</v>
      </c>
      <c r="B77" s="102"/>
      <c r="C77" s="102"/>
      <c r="D77" s="102" t="s">
        <v>54</v>
      </c>
      <c r="E77" s="102"/>
      <c r="F77" s="38"/>
      <c r="G77" s="85"/>
    </row>
    <row r="78" spans="1:9" x14ac:dyDescent="0.45">
      <c r="A78" s="31" t="s">
        <v>8</v>
      </c>
      <c r="B78" s="18" t="s">
        <v>0</v>
      </c>
      <c r="C78" s="19" t="s">
        <v>100</v>
      </c>
      <c r="D78" s="19" t="s">
        <v>9</v>
      </c>
      <c r="E78" s="19" t="s">
        <v>102</v>
      </c>
      <c r="F78" s="38"/>
      <c r="G78" s="51"/>
    </row>
    <row r="79" spans="1:9" outlineLevel="1" x14ac:dyDescent="0.45">
      <c r="A79" s="32"/>
      <c r="B79" s="24" t="s">
        <v>58</v>
      </c>
      <c r="C79" s="90" t="e">
        <f>'Budget Execution'!#REF!</f>
        <v>#REF!</v>
      </c>
      <c r="D79" s="22"/>
      <c r="E79" s="28"/>
      <c r="F79" s="38"/>
      <c r="G79" s="51"/>
    </row>
    <row r="80" spans="1:9" outlineLevel="1" x14ac:dyDescent="0.45">
      <c r="A80" s="128"/>
      <c r="C80" s="129"/>
      <c r="E80" s="28"/>
      <c r="F80" s="38"/>
    </row>
    <row r="81" spans="1:7" outlineLevel="1" x14ac:dyDescent="0.45">
      <c r="A81" s="32"/>
      <c r="B81" s="24"/>
      <c r="C81" s="92"/>
      <c r="D81" s="22"/>
      <c r="E81" s="28"/>
      <c r="F81" s="38"/>
      <c r="G81" s="51"/>
    </row>
    <row r="82" spans="1:7" outlineLevel="1" x14ac:dyDescent="0.45">
      <c r="A82" s="32"/>
      <c r="B82" s="24"/>
      <c r="C82" s="92"/>
      <c r="D82" s="22"/>
      <c r="E82" s="28"/>
      <c r="F82" s="38"/>
      <c r="G82" s="51"/>
    </row>
    <row r="83" spans="1:7" outlineLevel="1" x14ac:dyDescent="0.45">
      <c r="A83" s="33"/>
      <c r="B83" s="24"/>
      <c r="C83" s="91"/>
      <c r="D83" s="22"/>
      <c r="E83" s="28"/>
      <c r="F83" s="38"/>
      <c r="G83" s="51"/>
    </row>
    <row r="84" spans="1:7" x14ac:dyDescent="0.45">
      <c r="A84" s="172" t="s">
        <v>102</v>
      </c>
      <c r="B84" s="173"/>
      <c r="C84" s="25" t="e">
        <f>SUM(C79:C83)</f>
        <v>#REF!</v>
      </c>
      <c r="D84" s="25">
        <f>SUM(D79:D83)</f>
        <v>0</v>
      </c>
      <c r="E84" s="26" t="e">
        <f>C84-D84</f>
        <v>#REF!</v>
      </c>
      <c r="F84" s="38"/>
      <c r="G84" s="51"/>
    </row>
    <row r="85" spans="1:7" x14ac:dyDescent="0.45">
      <c r="F85" s="38"/>
    </row>
    <row r="86" spans="1:7" x14ac:dyDescent="0.45">
      <c r="A86" s="101" t="e">
        <f>'Budget Execution'!#REF!</f>
        <v>#REF!</v>
      </c>
      <c r="B86" s="102"/>
      <c r="C86" s="102"/>
      <c r="D86" s="102"/>
      <c r="E86" s="102" t="s">
        <v>54</v>
      </c>
      <c r="F86" s="38"/>
      <c r="G86" s="85"/>
    </row>
    <row r="87" spans="1:7" x14ac:dyDescent="0.45">
      <c r="A87" s="31" t="s">
        <v>8</v>
      </c>
      <c r="B87" s="18" t="s">
        <v>0</v>
      </c>
      <c r="C87" s="19" t="s">
        <v>100</v>
      </c>
      <c r="D87" s="19" t="s">
        <v>9</v>
      </c>
      <c r="E87" s="19" t="s">
        <v>102</v>
      </c>
      <c r="F87" s="38"/>
      <c r="G87" s="51"/>
    </row>
    <row r="88" spans="1:7" outlineLevel="1" x14ac:dyDescent="0.45">
      <c r="A88" s="32"/>
      <c r="B88" s="24" t="s">
        <v>58</v>
      </c>
      <c r="C88" s="90" t="e">
        <f>'Budget Execution'!#REF!</f>
        <v>#REF!</v>
      </c>
      <c r="D88" s="22"/>
      <c r="E88" s="28"/>
      <c r="F88" s="38"/>
      <c r="G88" s="51"/>
    </row>
    <row r="89" spans="1:7" outlineLevel="1" x14ac:dyDescent="0.45">
      <c r="A89" s="128"/>
      <c r="B89" s="24"/>
      <c r="C89" s="129"/>
      <c r="D89" s="22"/>
      <c r="E89" s="131"/>
      <c r="F89" s="132"/>
      <c r="G89" s="133">
        <f>D89*'Parameters '!C1</f>
        <v>0</v>
      </c>
    </row>
    <row r="90" spans="1:7" outlineLevel="1" x14ac:dyDescent="0.45">
      <c r="A90" s="128"/>
      <c r="B90" s="129"/>
      <c r="C90" s="136"/>
      <c r="D90" s="130"/>
      <c r="E90" s="131"/>
      <c r="F90" s="132"/>
      <c r="G90" s="133"/>
    </row>
    <row r="91" spans="1:7" outlineLevel="1" x14ac:dyDescent="0.45">
      <c r="A91" s="128"/>
      <c r="B91" s="129"/>
      <c r="C91" s="129"/>
      <c r="D91" s="130"/>
      <c r="E91" s="131"/>
      <c r="F91" s="132"/>
      <c r="G91" s="133">
        <f>D91*'Parameters '!C1</f>
        <v>0</v>
      </c>
    </row>
    <row r="92" spans="1:7" outlineLevel="1" x14ac:dyDescent="0.45">
      <c r="A92" s="33"/>
      <c r="B92" s="24"/>
      <c r="C92" s="91"/>
      <c r="D92" s="22"/>
      <c r="E92" s="28"/>
      <c r="F92" s="38"/>
      <c r="G92" s="51"/>
    </row>
    <row r="93" spans="1:7" x14ac:dyDescent="0.45">
      <c r="A93" s="172" t="s">
        <v>102</v>
      </c>
      <c r="B93" s="173"/>
      <c r="C93" s="25" t="e">
        <f>SUM(C88:C92)</f>
        <v>#REF!</v>
      </c>
      <c r="D93" s="25">
        <f>SUM(D88:D92)</f>
        <v>0</v>
      </c>
      <c r="E93" s="26" t="e">
        <f>C93-D93</f>
        <v>#REF!</v>
      </c>
      <c r="F93" s="38"/>
      <c r="G93" s="51"/>
    </row>
    <row r="94" spans="1:7" x14ac:dyDescent="0.45">
      <c r="F94" s="38"/>
    </row>
    <row r="95" spans="1:7" x14ac:dyDescent="0.45">
      <c r="A95" s="174" t="e">
        <f>'Budget Execution'!#REF!</f>
        <v>#REF!</v>
      </c>
      <c r="B95" s="175"/>
      <c r="C95" s="175"/>
      <c r="D95" s="175"/>
      <c r="E95" s="176"/>
      <c r="F95" s="38"/>
      <c r="G95" s="51"/>
    </row>
    <row r="96" spans="1:7" outlineLevel="1" x14ac:dyDescent="0.45">
      <c r="A96" s="31" t="s">
        <v>8</v>
      </c>
      <c r="B96" s="18" t="s">
        <v>0</v>
      </c>
      <c r="C96" s="19" t="s">
        <v>100</v>
      </c>
      <c r="D96" s="19" t="s">
        <v>9</v>
      </c>
      <c r="E96" s="19" t="s">
        <v>102</v>
      </c>
      <c r="F96" s="38"/>
      <c r="G96" s="51"/>
    </row>
    <row r="97" spans="1:7" outlineLevel="1" x14ac:dyDescent="0.45">
      <c r="A97" s="32"/>
      <c r="B97" s="24" t="s">
        <v>58</v>
      </c>
      <c r="C97" s="90" t="e">
        <f>'Budget Execution'!#REF!</f>
        <v>#REF!</v>
      </c>
      <c r="D97" s="22"/>
      <c r="E97" s="28"/>
      <c r="F97" s="38"/>
      <c r="G97" s="51"/>
    </row>
    <row r="98" spans="1:7" outlineLevel="1" x14ac:dyDescent="0.45">
      <c r="A98" s="32"/>
      <c r="B98" s="24"/>
      <c r="C98" s="92"/>
      <c r="D98" s="22"/>
      <c r="E98" s="28"/>
      <c r="F98" s="38"/>
      <c r="G98" s="51"/>
    </row>
    <row r="99" spans="1:7" outlineLevel="1" x14ac:dyDescent="0.45">
      <c r="A99" s="32"/>
      <c r="B99" s="24"/>
      <c r="C99" s="92"/>
      <c r="D99" s="22"/>
      <c r="E99" s="28"/>
      <c r="F99" s="38"/>
      <c r="G99" s="51"/>
    </row>
    <row r="100" spans="1:7" outlineLevel="1" x14ac:dyDescent="0.45">
      <c r="A100" s="32"/>
      <c r="B100" s="24"/>
      <c r="C100" s="92"/>
      <c r="D100" s="22"/>
      <c r="E100" s="28"/>
      <c r="F100" s="38"/>
      <c r="G100" s="51"/>
    </row>
    <row r="101" spans="1:7" outlineLevel="1" x14ac:dyDescent="0.45">
      <c r="A101" s="33"/>
      <c r="B101" s="24"/>
      <c r="C101" s="91"/>
      <c r="D101" s="22"/>
      <c r="E101" s="28"/>
      <c r="F101" s="38"/>
      <c r="G101" s="51"/>
    </row>
    <row r="102" spans="1:7" x14ac:dyDescent="0.45">
      <c r="A102" s="172" t="s">
        <v>102</v>
      </c>
      <c r="B102" s="173"/>
      <c r="C102" s="25" t="e">
        <f>SUM(C97:C101)</f>
        <v>#REF!</v>
      </c>
      <c r="D102" s="25">
        <f>SUM(D97:D101)</f>
        <v>0</v>
      </c>
      <c r="E102" s="26" t="e">
        <f>C102-D102</f>
        <v>#REF!</v>
      </c>
      <c r="F102" s="38"/>
      <c r="G102" s="51"/>
    </row>
    <row r="103" spans="1:7" x14ac:dyDescent="0.45">
      <c r="F103" s="38"/>
    </row>
    <row r="104" spans="1:7" x14ac:dyDescent="0.45">
      <c r="A104" s="174" t="e">
        <f>'Budget Execution'!#REF!</f>
        <v>#REF!</v>
      </c>
      <c r="B104" s="175"/>
      <c r="C104" s="175"/>
      <c r="D104" s="175"/>
      <c r="E104" s="176"/>
      <c r="F104" s="38"/>
      <c r="G104" s="51"/>
    </row>
    <row r="105" spans="1:7" outlineLevel="1" x14ac:dyDescent="0.45">
      <c r="A105" s="31" t="s">
        <v>8</v>
      </c>
      <c r="B105" s="18" t="s">
        <v>0</v>
      </c>
      <c r="C105" s="19" t="s">
        <v>100</v>
      </c>
      <c r="D105" s="19" t="s">
        <v>9</v>
      </c>
      <c r="E105" s="19" t="s">
        <v>102</v>
      </c>
      <c r="F105" s="38"/>
      <c r="G105" s="51"/>
    </row>
    <row r="106" spans="1:7" outlineLevel="1" x14ac:dyDescent="0.45">
      <c r="A106" s="32"/>
      <c r="B106" s="24" t="s">
        <v>58</v>
      </c>
      <c r="C106" s="90" t="e">
        <f>'Budget Execution'!#REF!</f>
        <v>#REF!</v>
      </c>
      <c r="D106" s="22"/>
      <c r="E106" s="28"/>
      <c r="F106" s="38"/>
      <c r="G106" s="51"/>
    </row>
    <row r="107" spans="1:7" outlineLevel="1" x14ac:dyDescent="0.45">
      <c r="A107" s="32"/>
      <c r="B107" s="24"/>
      <c r="C107" s="92"/>
      <c r="D107" s="22"/>
      <c r="E107" s="28"/>
      <c r="F107" s="38"/>
      <c r="G107" s="51"/>
    </row>
    <row r="108" spans="1:7" outlineLevel="1" x14ac:dyDescent="0.45">
      <c r="A108" s="32"/>
      <c r="B108" s="24"/>
      <c r="C108" s="92"/>
      <c r="D108" s="22"/>
      <c r="E108" s="28"/>
      <c r="F108" s="38"/>
      <c r="G108" s="51"/>
    </row>
    <row r="109" spans="1:7" outlineLevel="1" x14ac:dyDescent="0.45">
      <c r="A109" s="32"/>
      <c r="B109" s="24"/>
      <c r="C109" s="92"/>
      <c r="D109" s="22"/>
      <c r="E109" s="28"/>
      <c r="F109" s="38"/>
      <c r="G109" s="51"/>
    </row>
    <row r="110" spans="1:7" outlineLevel="1" x14ac:dyDescent="0.45">
      <c r="A110" s="33"/>
      <c r="B110" s="24"/>
      <c r="C110" s="91"/>
      <c r="D110" s="22"/>
      <c r="E110" s="28"/>
      <c r="F110" s="38"/>
      <c r="G110" s="51"/>
    </row>
    <row r="111" spans="1:7" x14ac:dyDescent="0.45">
      <c r="A111" s="172" t="s">
        <v>102</v>
      </c>
      <c r="B111" s="173"/>
      <c r="C111" s="25" t="e">
        <f>SUM(C106:C110)</f>
        <v>#REF!</v>
      </c>
      <c r="D111" s="25">
        <f>SUM(D106:D110)</f>
        <v>0</v>
      </c>
      <c r="E111" s="26" t="e">
        <f>C111-D111</f>
        <v>#REF!</v>
      </c>
      <c r="F111" s="38"/>
      <c r="G111" s="51"/>
    </row>
    <row r="112" spans="1:7" x14ac:dyDescent="0.45">
      <c r="F112" s="38"/>
    </row>
    <row r="113" spans="1:7" x14ac:dyDescent="0.45">
      <c r="A113" s="174" t="e">
        <f>'Budget Execution'!#REF!</f>
        <v>#REF!</v>
      </c>
      <c r="B113" s="175"/>
      <c r="C113" s="175"/>
      <c r="D113" s="175"/>
      <c r="E113" s="176"/>
      <c r="F113" s="38"/>
      <c r="G113" s="51"/>
    </row>
    <row r="114" spans="1:7" outlineLevel="1" x14ac:dyDescent="0.45">
      <c r="A114" s="31" t="s">
        <v>8</v>
      </c>
      <c r="B114" s="18" t="s">
        <v>0</v>
      </c>
      <c r="C114" s="19" t="s">
        <v>100</v>
      </c>
      <c r="D114" s="19" t="s">
        <v>9</v>
      </c>
      <c r="E114" s="19" t="s">
        <v>102</v>
      </c>
      <c r="F114" s="38"/>
      <c r="G114" s="51"/>
    </row>
    <row r="115" spans="1:7" outlineLevel="1" x14ac:dyDescent="0.45">
      <c r="A115" s="32"/>
      <c r="B115" s="24" t="s">
        <v>58</v>
      </c>
      <c r="C115" s="90" t="e">
        <f>'Budget Execution'!#REF!</f>
        <v>#REF!</v>
      </c>
      <c r="D115" s="22"/>
      <c r="E115" s="28"/>
      <c r="F115" s="38"/>
      <c r="G115" s="51"/>
    </row>
    <row r="116" spans="1:7" outlineLevel="1" x14ac:dyDescent="0.45">
      <c r="A116" s="32"/>
      <c r="B116" s="24"/>
      <c r="C116" s="92"/>
      <c r="D116" s="22"/>
      <c r="E116" s="28"/>
      <c r="F116" s="38"/>
      <c r="G116" s="51"/>
    </row>
    <row r="117" spans="1:7" outlineLevel="1" x14ac:dyDescent="0.45">
      <c r="A117" s="32"/>
      <c r="B117" s="24"/>
      <c r="C117" s="92"/>
      <c r="D117" s="22"/>
      <c r="E117" s="28"/>
      <c r="F117" s="38"/>
      <c r="G117" s="51"/>
    </row>
    <row r="118" spans="1:7" outlineLevel="1" x14ac:dyDescent="0.45">
      <c r="A118" s="32"/>
      <c r="B118" s="24"/>
      <c r="C118" s="92"/>
      <c r="D118" s="22"/>
      <c r="E118" s="28"/>
      <c r="F118" s="38"/>
      <c r="G118" s="51"/>
    </row>
    <row r="119" spans="1:7" outlineLevel="1" x14ac:dyDescent="0.45">
      <c r="A119" s="33"/>
      <c r="B119" s="24"/>
      <c r="C119" s="91"/>
      <c r="D119" s="22"/>
      <c r="E119" s="28"/>
      <c r="F119" s="38"/>
      <c r="G119" s="51"/>
    </row>
    <row r="120" spans="1:7" x14ac:dyDescent="0.45">
      <c r="A120" s="172" t="s">
        <v>102</v>
      </c>
      <c r="B120" s="173"/>
      <c r="C120" s="25" t="e">
        <f>SUM(C115:C119)</f>
        <v>#REF!</v>
      </c>
      <c r="D120" s="25">
        <f>SUM(D115:D119)</f>
        <v>0</v>
      </c>
      <c r="E120" s="26" t="e">
        <f>C120-D120</f>
        <v>#REF!</v>
      </c>
      <c r="F120" s="38"/>
      <c r="G120" s="51"/>
    </row>
    <row r="121" spans="1:7" x14ac:dyDescent="0.45">
      <c r="F121" s="38"/>
    </row>
    <row r="122" spans="1:7" x14ac:dyDescent="0.45">
      <c r="A122" s="174" t="e">
        <f>'Budget Execution'!#REF!</f>
        <v>#REF!</v>
      </c>
      <c r="B122" s="175"/>
      <c r="C122" s="175"/>
      <c r="D122" s="175"/>
      <c r="E122" s="176"/>
      <c r="F122" s="38"/>
      <c r="G122" s="51"/>
    </row>
    <row r="123" spans="1:7" x14ac:dyDescent="0.45">
      <c r="A123" s="31" t="s">
        <v>8</v>
      </c>
      <c r="B123" s="18" t="s">
        <v>0</v>
      </c>
      <c r="C123" s="19" t="s">
        <v>100</v>
      </c>
      <c r="D123" s="19" t="s">
        <v>9</v>
      </c>
      <c r="E123" s="19" t="s">
        <v>102</v>
      </c>
      <c r="F123" s="38"/>
      <c r="G123" s="51"/>
    </row>
    <row r="124" spans="1:7" outlineLevel="1" x14ac:dyDescent="0.45">
      <c r="A124" s="32"/>
      <c r="B124" s="24" t="s">
        <v>58</v>
      </c>
      <c r="C124" s="90" t="e">
        <f>'Budget Execution'!#REF!</f>
        <v>#REF!</v>
      </c>
      <c r="D124" s="22"/>
      <c r="E124" s="28"/>
      <c r="F124" s="38"/>
      <c r="G124" s="51"/>
    </row>
    <row r="125" spans="1:7" outlineLevel="1" x14ac:dyDescent="0.45">
      <c r="A125" s="32"/>
      <c r="B125" s="24"/>
      <c r="C125" s="92"/>
      <c r="D125" s="22"/>
      <c r="E125" s="28"/>
      <c r="F125" s="38"/>
      <c r="G125" s="51"/>
    </row>
    <row r="126" spans="1:7" outlineLevel="1" x14ac:dyDescent="0.45">
      <c r="A126" s="32"/>
      <c r="B126" s="24"/>
      <c r="C126" s="92"/>
      <c r="D126" s="22"/>
      <c r="E126" s="28"/>
      <c r="F126" s="38"/>
      <c r="G126" s="51"/>
    </row>
    <row r="127" spans="1:7" outlineLevel="1" x14ac:dyDescent="0.45">
      <c r="A127" s="32"/>
      <c r="B127" s="24"/>
      <c r="C127" s="92"/>
      <c r="D127" s="22"/>
      <c r="E127" s="28"/>
      <c r="F127" s="38"/>
      <c r="G127" s="51"/>
    </row>
    <row r="128" spans="1:7" outlineLevel="1" x14ac:dyDescent="0.45">
      <c r="A128" s="33"/>
      <c r="B128" s="24"/>
      <c r="C128" s="91"/>
      <c r="D128" s="22"/>
      <c r="E128" s="28"/>
      <c r="F128" s="38"/>
      <c r="G128" s="51"/>
    </row>
    <row r="129" spans="1:7" x14ac:dyDescent="0.45">
      <c r="A129" s="172" t="s">
        <v>102</v>
      </c>
      <c r="B129" s="173"/>
      <c r="C129" s="25" t="e">
        <f>SUM(C124:C128)</f>
        <v>#REF!</v>
      </c>
      <c r="D129" s="25">
        <f>SUM(D124:D128)</f>
        <v>0</v>
      </c>
      <c r="E129" s="26" t="e">
        <f>C129-D129</f>
        <v>#REF!</v>
      </c>
      <c r="F129" s="38"/>
      <c r="G129" s="51"/>
    </row>
    <row r="130" spans="1:7" x14ac:dyDescent="0.45">
      <c r="F130" s="38"/>
    </row>
    <row r="131" spans="1:7" x14ac:dyDescent="0.45">
      <c r="A131" s="174" t="e">
        <f>'Budget Execution'!#REF!</f>
        <v>#REF!</v>
      </c>
      <c r="B131" s="175"/>
      <c r="C131" s="175"/>
      <c r="D131" s="175"/>
      <c r="E131" s="176"/>
      <c r="F131" s="38"/>
      <c r="G131" s="51"/>
    </row>
    <row r="132" spans="1:7" x14ac:dyDescent="0.45">
      <c r="A132" s="31" t="s">
        <v>8</v>
      </c>
      <c r="B132" s="18" t="s">
        <v>0</v>
      </c>
      <c r="C132" s="19" t="s">
        <v>100</v>
      </c>
      <c r="D132" s="19" t="s">
        <v>9</v>
      </c>
      <c r="E132" s="19" t="s">
        <v>102</v>
      </c>
      <c r="F132" s="38"/>
      <c r="G132" s="51"/>
    </row>
    <row r="133" spans="1:7" outlineLevel="1" x14ac:dyDescent="0.45">
      <c r="A133" s="32"/>
      <c r="B133" s="24" t="s">
        <v>58</v>
      </c>
      <c r="C133" s="90" t="e">
        <f>'Budget Execution'!#REF!</f>
        <v>#REF!</v>
      </c>
      <c r="D133" s="22"/>
      <c r="E133" s="28"/>
      <c r="F133" s="38"/>
      <c r="G133" s="51"/>
    </row>
    <row r="134" spans="1:7" outlineLevel="1" x14ac:dyDescent="0.45">
      <c r="A134" s="32"/>
      <c r="B134" s="24"/>
      <c r="C134" s="92"/>
      <c r="D134" s="22"/>
      <c r="E134" s="28"/>
      <c r="F134" s="38"/>
      <c r="G134" s="51"/>
    </row>
    <row r="135" spans="1:7" outlineLevel="1" x14ac:dyDescent="0.45">
      <c r="A135" s="32"/>
      <c r="B135" s="24"/>
      <c r="C135" s="92"/>
      <c r="D135" s="22"/>
      <c r="E135" s="28"/>
      <c r="F135" s="38"/>
      <c r="G135" s="51"/>
    </row>
    <row r="136" spans="1:7" outlineLevel="1" x14ac:dyDescent="0.45">
      <c r="A136" s="32"/>
      <c r="B136" s="24"/>
      <c r="C136" s="92"/>
      <c r="D136" s="22"/>
      <c r="E136" s="28"/>
      <c r="F136" s="38"/>
      <c r="G136" s="51"/>
    </row>
    <row r="137" spans="1:7" outlineLevel="1" x14ac:dyDescent="0.45">
      <c r="A137" s="33"/>
      <c r="B137" s="24"/>
      <c r="C137" s="91"/>
      <c r="D137" s="22"/>
      <c r="E137" s="28"/>
      <c r="F137" s="38"/>
      <c r="G137" s="51"/>
    </row>
    <row r="138" spans="1:7" x14ac:dyDescent="0.45">
      <c r="A138" s="172" t="s">
        <v>102</v>
      </c>
      <c r="B138" s="173"/>
      <c r="C138" s="25" t="e">
        <f>SUM(C133:C137)</f>
        <v>#REF!</v>
      </c>
      <c r="D138" s="25">
        <f>SUM(D133:D137)</f>
        <v>0</v>
      </c>
      <c r="E138" s="26" t="e">
        <f>C138-D138</f>
        <v>#REF!</v>
      </c>
      <c r="F138" s="38"/>
      <c r="G138" s="51"/>
    </row>
    <row r="139" spans="1:7" x14ac:dyDescent="0.45">
      <c r="F139" s="38"/>
    </row>
    <row r="140" spans="1:7" x14ac:dyDescent="0.45">
      <c r="A140" s="174" t="e">
        <f>'Budget Execution'!#REF!</f>
        <v>#REF!</v>
      </c>
      <c r="B140" s="175"/>
      <c r="C140" s="175"/>
      <c r="D140" s="175"/>
      <c r="E140" s="176"/>
      <c r="F140" s="38"/>
      <c r="G140" s="51"/>
    </row>
    <row r="141" spans="1:7" x14ac:dyDescent="0.45">
      <c r="A141" s="31" t="s">
        <v>8</v>
      </c>
      <c r="B141" s="18" t="s">
        <v>0</v>
      </c>
      <c r="C141" s="19" t="s">
        <v>100</v>
      </c>
      <c r="D141" s="19" t="s">
        <v>9</v>
      </c>
      <c r="E141" s="19" t="s">
        <v>102</v>
      </c>
      <c r="F141" s="38"/>
      <c r="G141" s="51"/>
    </row>
    <row r="142" spans="1:7" outlineLevel="1" x14ac:dyDescent="0.45">
      <c r="A142" s="32"/>
      <c r="B142" s="24" t="s">
        <v>58</v>
      </c>
      <c r="C142" s="90" t="e">
        <f>'Budget Execution'!#REF!</f>
        <v>#REF!</v>
      </c>
      <c r="D142" s="22"/>
      <c r="E142" s="28"/>
      <c r="F142" s="38"/>
      <c r="G142" s="51"/>
    </row>
    <row r="143" spans="1:7" outlineLevel="1" x14ac:dyDescent="0.45">
      <c r="A143" s="32"/>
      <c r="B143" s="24"/>
      <c r="C143" s="92"/>
      <c r="D143" s="22"/>
      <c r="E143" s="28"/>
      <c r="F143" s="38"/>
      <c r="G143" s="51"/>
    </row>
    <row r="144" spans="1:7" outlineLevel="1" x14ac:dyDescent="0.45">
      <c r="A144" s="32"/>
      <c r="B144" s="24"/>
      <c r="C144" s="92"/>
      <c r="D144" s="22"/>
      <c r="E144" s="28"/>
      <c r="F144" s="38"/>
      <c r="G144" s="51"/>
    </row>
    <row r="145" spans="1:7" outlineLevel="1" x14ac:dyDescent="0.45">
      <c r="A145" s="32"/>
      <c r="B145" s="24"/>
      <c r="C145" s="92"/>
      <c r="D145" s="22"/>
      <c r="E145" s="28"/>
      <c r="F145" s="38"/>
      <c r="G145" s="51"/>
    </row>
    <row r="146" spans="1:7" outlineLevel="1" x14ac:dyDescent="0.45">
      <c r="A146" s="33"/>
      <c r="B146" s="24"/>
      <c r="C146" s="91"/>
      <c r="D146" s="22"/>
      <c r="E146" s="28"/>
      <c r="F146" s="38"/>
      <c r="G146" s="51"/>
    </row>
    <row r="147" spans="1:7" x14ac:dyDescent="0.45">
      <c r="A147" s="172" t="s">
        <v>102</v>
      </c>
      <c r="B147" s="173"/>
      <c r="C147" s="25" t="e">
        <f>SUM(C142:C146)</f>
        <v>#REF!</v>
      </c>
      <c r="D147" s="25">
        <f>SUM(D142:D146)</f>
        <v>0</v>
      </c>
      <c r="E147" s="26" t="e">
        <f>C147-D147</f>
        <v>#REF!</v>
      </c>
      <c r="F147" s="38"/>
      <c r="G147" s="51"/>
    </row>
    <row r="148" spans="1:7" x14ac:dyDescent="0.45">
      <c r="F148" s="38"/>
    </row>
    <row r="149" spans="1:7" x14ac:dyDescent="0.45">
      <c r="A149" s="47" t="s">
        <v>98</v>
      </c>
      <c r="B149" s="47"/>
      <c r="C149" s="53"/>
      <c r="D149" s="53"/>
      <c r="E149" s="54"/>
      <c r="F149" s="38"/>
      <c r="G149" s="51"/>
    </row>
    <row r="150" spans="1:7" x14ac:dyDescent="0.45">
      <c r="A150" s="47" t="s">
        <v>101</v>
      </c>
      <c r="B150" s="47"/>
      <c r="C150" s="53"/>
      <c r="D150" s="53"/>
      <c r="E150" s="54"/>
      <c r="F150" s="38"/>
      <c r="G150" s="51"/>
    </row>
    <row r="151" spans="1:7" x14ac:dyDescent="0.45">
      <c r="A151" s="174" t="str">
        <f>'Budget Execution'!A24</f>
        <v>Budget Execution item other source 1</v>
      </c>
      <c r="B151" s="175"/>
      <c r="C151" s="175"/>
      <c r="D151" s="175"/>
      <c r="E151" s="176"/>
      <c r="F151" s="38"/>
      <c r="G151" s="51"/>
    </row>
    <row r="152" spans="1:7" outlineLevel="1" x14ac:dyDescent="0.45">
      <c r="A152" s="31" t="s">
        <v>8</v>
      </c>
      <c r="B152" s="18" t="s">
        <v>0</v>
      </c>
      <c r="C152" s="19" t="s">
        <v>100</v>
      </c>
      <c r="D152" s="19" t="s">
        <v>9</v>
      </c>
      <c r="E152" s="19" t="s">
        <v>102</v>
      </c>
      <c r="F152" s="38"/>
      <c r="G152" s="51"/>
    </row>
    <row r="153" spans="1:7" outlineLevel="1" x14ac:dyDescent="0.45">
      <c r="A153" s="32"/>
      <c r="B153" s="24" t="s">
        <v>58</v>
      </c>
      <c r="C153" s="90">
        <f>'Budget Execution'!G24</f>
        <v>0</v>
      </c>
      <c r="D153" s="22"/>
      <c r="E153" s="28"/>
      <c r="F153" s="38"/>
      <c r="G153" s="51"/>
    </row>
    <row r="154" spans="1:7" outlineLevel="1" x14ac:dyDescent="0.45">
      <c r="A154" s="32"/>
      <c r="B154" s="24"/>
      <c r="C154" s="92"/>
      <c r="D154" s="22"/>
      <c r="E154" s="28"/>
      <c r="F154" s="38"/>
      <c r="G154" s="51"/>
    </row>
    <row r="155" spans="1:7" outlineLevel="1" x14ac:dyDescent="0.45">
      <c r="A155" s="32"/>
      <c r="B155" s="24"/>
      <c r="C155" s="92"/>
      <c r="D155" s="22"/>
      <c r="E155" s="28"/>
      <c r="F155" s="38"/>
      <c r="G155" s="51"/>
    </row>
    <row r="156" spans="1:7" outlineLevel="1" x14ac:dyDescent="0.45">
      <c r="A156" s="32"/>
      <c r="B156" s="24"/>
      <c r="C156" s="92"/>
      <c r="D156" s="22"/>
      <c r="E156" s="28"/>
      <c r="F156" s="38"/>
      <c r="G156" s="51"/>
    </row>
    <row r="157" spans="1:7" outlineLevel="1" x14ac:dyDescent="0.45">
      <c r="A157" s="33"/>
      <c r="B157" s="24"/>
      <c r="C157" s="91"/>
      <c r="D157" s="22"/>
      <c r="E157" s="28"/>
      <c r="F157" s="38"/>
      <c r="G157" s="51"/>
    </row>
    <row r="158" spans="1:7" x14ac:dyDescent="0.45">
      <c r="A158" s="172" t="s">
        <v>102</v>
      </c>
      <c r="B158" s="173"/>
      <c r="C158" s="25">
        <f>SUM(C153:C157)</f>
        <v>0</v>
      </c>
      <c r="D158" s="25">
        <f>SUM(D153:D157)</f>
        <v>0</v>
      </c>
      <c r="E158" s="26">
        <f>C158-D158</f>
        <v>0</v>
      </c>
      <c r="F158" s="38"/>
      <c r="G158" s="51"/>
    </row>
    <row r="159" spans="1:7" x14ac:dyDescent="0.45">
      <c r="F159" s="38"/>
    </row>
    <row r="160" spans="1:7" x14ac:dyDescent="0.45">
      <c r="A160" s="174" t="str">
        <f>'Budget Execution'!A25</f>
        <v>Budget Execution item other source 2</v>
      </c>
      <c r="B160" s="175"/>
      <c r="C160" s="175"/>
      <c r="D160" s="175"/>
      <c r="E160" s="176"/>
      <c r="F160" s="38"/>
      <c r="G160" s="51"/>
    </row>
    <row r="161" spans="1:7" outlineLevel="1" x14ac:dyDescent="0.45">
      <c r="A161" s="31" t="s">
        <v>8</v>
      </c>
      <c r="B161" s="18" t="s">
        <v>0</v>
      </c>
      <c r="C161" s="19" t="s">
        <v>100</v>
      </c>
      <c r="D161" s="19" t="s">
        <v>9</v>
      </c>
      <c r="E161" s="19" t="s">
        <v>102</v>
      </c>
      <c r="F161" s="38"/>
      <c r="G161" s="51"/>
    </row>
    <row r="162" spans="1:7" outlineLevel="1" x14ac:dyDescent="0.45">
      <c r="A162" s="32"/>
      <c r="B162" s="24" t="s">
        <v>58</v>
      </c>
      <c r="C162" s="90">
        <f>'Budget Execution'!G25</f>
        <v>0</v>
      </c>
      <c r="D162" s="22"/>
      <c r="E162" s="28"/>
      <c r="F162" s="38"/>
      <c r="G162" s="51"/>
    </row>
    <row r="163" spans="1:7" outlineLevel="1" x14ac:dyDescent="0.45">
      <c r="A163" s="32"/>
      <c r="B163" s="24"/>
      <c r="C163" s="92"/>
      <c r="D163" s="22"/>
      <c r="E163" s="28"/>
      <c r="F163" s="38"/>
      <c r="G163" s="51"/>
    </row>
    <row r="164" spans="1:7" outlineLevel="1" x14ac:dyDescent="0.45">
      <c r="A164" s="32"/>
      <c r="B164" s="24"/>
      <c r="C164" s="92"/>
      <c r="D164" s="22"/>
      <c r="E164" s="28"/>
      <c r="F164" s="38"/>
      <c r="G164" s="51"/>
    </row>
    <row r="165" spans="1:7" outlineLevel="1" x14ac:dyDescent="0.45">
      <c r="A165" s="32"/>
      <c r="B165" s="24"/>
      <c r="C165" s="92"/>
      <c r="D165" s="22"/>
      <c r="E165" s="28"/>
      <c r="F165" s="38"/>
      <c r="G165" s="51"/>
    </row>
    <row r="166" spans="1:7" outlineLevel="1" x14ac:dyDescent="0.45">
      <c r="A166" s="33"/>
      <c r="B166" s="24"/>
      <c r="C166" s="91"/>
      <c r="D166" s="22"/>
      <c r="E166" s="28"/>
      <c r="F166" s="38"/>
      <c r="G166" s="51"/>
    </row>
    <row r="167" spans="1:7" x14ac:dyDescent="0.45">
      <c r="A167" s="172" t="s">
        <v>102</v>
      </c>
      <c r="B167" s="173"/>
      <c r="C167" s="25">
        <f>SUM(C162:C166)</f>
        <v>0</v>
      </c>
      <c r="D167" s="25">
        <f>SUM(D162:D166)</f>
        <v>0</v>
      </c>
      <c r="E167" s="26">
        <f>C167-D167</f>
        <v>0</v>
      </c>
      <c r="F167" s="38"/>
      <c r="G167" s="51"/>
    </row>
    <row r="168" spans="1:7" x14ac:dyDescent="0.45">
      <c r="F168" s="38"/>
    </row>
    <row r="169" spans="1:7" x14ac:dyDescent="0.45">
      <c r="A169" s="174" t="e">
        <f>'Budget Execution'!#REF!</f>
        <v>#REF!</v>
      </c>
      <c r="B169" s="175"/>
      <c r="C169" s="175"/>
      <c r="D169" s="175"/>
      <c r="E169" s="176"/>
      <c r="F169" s="38"/>
      <c r="G169" s="51"/>
    </row>
    <row r="170" spans="1:7" outlineLevel="1" x14ac:dyDescent="0.45">
      <c r="A170" s="31" t="s">
        <v>8</v>
      </c>
      <c r="B170" s="18" t="s">
        <v>0</v>
      </c>
      <c r="C170" s="19" t="s">
        <v>100</v>
      </c>
      <c r="D170" s="19" t="s">
        <v>9</v>
      </c>
      <c r="E170" s="19" t="s">
        <v>102</v>
      </c>
      <c r="F170" s="38"/>
      <c r="G170" s="51"/>
    </row>
    <row r="171" spans="1:7" outlineLevel="1" x14ac:dyDescent="0.45">
      <c r="A171" s="32"/>
      <c r="B171" s="24" t="s">
        <v>58</v>
      </c>
      <c r="C171" s="90" t="e">
        <f>'Budget Execution'!#REF!</f>
        <v>#REF!</v>
      </c>
      <c r="D171" s="22"/>
      <c r="E171" s="28"/>
      <c r="F171" s="38"/>
      <c r="G171" s="51"/>
    </row>
    <row r="172" spans="1:7" outlineLevel="1" x14ac:dyDescent="0.45">
      <c r="A172" s="32"/>
      <c r="B172" s="24"/>
      <c r="C172" s="92"/>
      <c r="D172" s="22"/>
      <c r="E172" s="28"/>
      <c r="F172" s="38"/>
      <c r="G172" s="51"/>
    </row>
    <row r="173" spans="1:7" outlineLevel="1" x14ac:dyDescent="0.45">
      <c r="A173" s="32"/>
      <c r="B173" s="24"/>
      <c r="C173" s="92"/>
      <c r="D173" s="22"/>
      <c r="E173" s="28"/>
      <c r="F173" s="38"/>
      <c r="G173" s="51"/>
    </row>
    <row r="174" spans="1:7" outlineLevel="1" x14ac:dyDescent="0.45">
      <c r="A174" s="32"/>
      <c r="B174" s="24"/>
      <c r="C174" s="92"/>
      <c r="D174" s="22"/>
      <c r="E174" s="28"/>
      <c r="F174" s="38"/>
      <c r="G174" s="51"/>
    </row>
    <row r="175" spans="1:7" outlineLevel="1" x14ac:dyDescent="0.45">
      <c r="A175" s="33"/>
      <c r="B175" s="24"/>
      <c r="C175" s="91"/>
      <c r="D175" s="22"/>
      <c r="E175" s="28"/>
      <c r="F175" s="38"/>
      <c r="G175" s="51"/>
    </row>
    <row r="176" spans="1:7" x14ac:dyDescent="0.45">
      <c r="A176" s="172" t="s">
        <v>102</v>
      </c>
      <c r="B176" s="173"/>
      <c r="C176" s="25" t="e">
        <f>SUM(C171:C175)</f>
        <v>#REF!</v>
      </c>
      <c r="D176" s="25">
        <f>SUM(D171:D175)</f>
        <v>0</v>
      </c>
      <c r="E176" s="26" t="e">
        <f>C176-D176</f>
        <v>#REF!</v>
      </c>
      <c r="F176" s="38"/>
      <c r="G176" s="51"/>
    </row>
    <row r="177" spans="1:7" x14ac:dyDescent="0.45">
      <c r="F177" s="38"/>
    </row>
    <row r="178" spans="1:7" x14ac:dyDescent="0.45">
      <c r="A178" s="174" t="e">
        <f>'Budget Execution'!#REF!</f>
        <v>#REF!</v>
      </c>
      <c r="B178" s="175"/>
      <c r="C178" s="175"/>
      <c r="D178" s="175"/>
      <c r="E178" s="176"/>
      <c r="F178" s="38"/>
      <c r="G178" s="51"/>
    </row>
    <row r="179" spans="1:7" outlineLevel="1" x14ac:dyDescent="0.45">
      <c r="A179" s="31" t="s">
        <v>8</v>
      </c>
      <c r="B179" s="18" t="s">
        <v>0</v>
      </c>
      <c r="C179" s="19" t="s">
        <v>100</v>
      </c>
      <c r="D179" s="19" t="s">
        <v>9</v>
      </c>
      <c r="E179" s="19" t="s">
        <v>102</v>
      </c>
      <c r="F179" s="38"/>
      <c r="G179" s="51"/>
    </row>
    <row r="180" spans="1:7" outlineLevel="1" x14ac:dyDescent="0.45">
      <c r="A180" s="32"/>
      <c r="B180" s="24" t="s">
        <v>58</v>
      </c>
      <c r="C180" s="90" t="e">
        <f>'Budget Execution'!#REF!</f>
        <v>#REF!</v>
      </c>
      <c r="D180" s="22"/>
      <c r="E180" s="28"/>
      <c r="F180" s="38"/>
      <c r="G180" s="51"/>
    </row>
    <row r="181" spans="1:7" outlineLevel="1" x14ac:dyDescent="0.45">
      <c r="A181" s="32"/>
      <c r="B181" s="24"/>
      <c r="C181" s="92"/>
      <c r="D181" s="22"/>
      <c r="E181" s="28"/>
      <c r="F181" s="38"/>
      <c r="G181" s="51"/>
    </row>
    <row r="182" spans="1:7" outlineLevel="1" x14ac:dyDescent="0.45">
      <c r="A182" s="32"/>
      <c r="B182" s="24"/>
      <c r="C182" s="92"/>
      <c r="D182" s="22"/>
      <c r="E182" s="28"/>
      <c r="F182" s="38"/>
      <c r="G182" s="51"/>
    </row>
    <row r="183" spans="1:7" outlineLevel="1" x14ac:dyDescent="0.45">
      <c r="A183" s="32"/>
      <c r="B183" s="24"/>
      <c r="C183" s="92"/>
      <c r="D183" s="22"/>
      <c r="E183" s="28"/>
      <c r="F183" s="38"/>
      <c r="G183" s="51"/>
    </row>
    <row r="184" spans="1:7" outlineLevel="1" x14ac:dyDescent="0.45">
      <c r="A184" s="33"/>
      <c r="B184" s="24"/>
      <c r="C184" s="91"/>
      <c r="D184" s="22"/>
      <c r="E184" s="28"/>
      <c r="F184" s="38"/>
      <c r="G184" s="51"/>
    </row>
    <row r="185" spans="1:7" x14ac:dyDescent="0.45">
      <c r="A185" s="172" t="s">
        <v>102</v>
      </c>
      <c r="B185" s="173"/>
      <c r="C185" s="25" t="e">
        <f>SUM(C180:C184)</f>
        <v>#REF!</v>
      </c>
      <c r="D185" s="25">
        <f>SUM(D180:D184)</f>
        <v>0</v>
      </c>
      <c r="E185" s="26" t="e">
        <f>C185-D185</f>
        <v>#REF!</v>
      </c>
      <c r="F185" s="38"/>
      <c r="G185" s="51"/>
    </row>
    <row r="186" spans="1:7" x14ac:dyDescent="0.45">
      <c r="F186" s="38"/>
    </row>
    <row r="187" spans="1:7" x14ac:dyDescent="0.45">
      <c r="A187" s="174" t="e">
        <f>'Budget Execution'!#REF!</f>
        <v>#REF!</v>
      </c>
      <c r="B187" s="175"/>
      <c r="C187" s="175"/>
      <c r="D187" s="175"/>
      <c r="E187" s="176"/>
      <c r="F187" s="38"/>
      <c r="G187" s="51"/>
    </row>
    <row r="188" spans="1:7" outlineLevel="1" x14ac:dyDescent="0.45">
      <c r="A188" s="31" t="s">
        <v>8</v>
      </c>
      <c r="B188" s="18" t="s">
        <v>0</v>
      </c>
      <c r="C188" s="19" t="s">
        <v>100</v>
      </c>
      <c r="D188" s="19" t="s">
        <v>9</v>
      </c>
      <c r="E188" s="19" t="s">
        <v>102</v>
      </c>
      <c r="F188" s="38"/>
      <c r="G188" s="51"/>
    </row>
    <row r="189" spans="1:7" outlineLevel="1" x14ac:dyDescent="0.45">
      <c r="A189" s="32"/>
      <c r="B189" s="24" t="s">
        <v>58</v>
      </c>
      <c r="C189" s="90" t="e">
        <f>'Budget Execution'!#REF!</f>
        <v>#REF!</v>
      </c>
      <c r="D189" s="22"/>
      <c r="E189" s="28"/>
      <c r="F189" s="38"/>
      <c r="G189" s="51"/>
    </row>
    <row r="190" spans="1:7" outlineLevel="1" x14ac:dyDescent="0.45">
      <c r="A190" s="32"/>
      <c r="B190" s="24"/>
      <c r="C190" s="92"/>
      <c r="D190" s="22"/>
      <c r="E190" s="28"/>
      <c r="F190" s="38"/>
      <c r="G190" s="51"/>
    </row>
    <row r="191" spans="1:7" outlineLevel="1" x14ac:dyDescent="0.45">
      <c r="A191" s="32"/>
      <c r="B191" s="24"/>
      <c r="C191" s="92"/>
      <c r="D191" s="22"/>
      <c r="E191" s="28"/>
      <c r="F191" s="38"/>
      <c r="G191" s="51"/>
    </row>
    <row r="192" spans="1:7" outlineLevel="1" x14ac:dyDescent="0.45">
      <c r="A192" s="32"/>
      <c r="B192" s="24"/>
      <c r="C192" s="92"/>
      <c r="D192" s="22"/>
      <c r="E192" s="28"/>
      <c r="F192" s="38"/>
      <c r="G192" s="51"/>
    </row>
    <row r="193" spans="1:7" outlineLevel="1" x14ac:dyDescent="0.45">
      <c r="A193" s="33"/>
      <c r="B193" s="24"/>
      <c r="C193" s="91"/>
      <c r="D193" s="22"/>
      <c r="E193" s="28"/>
      <c r="F193" s="38"/>
      <c r="G193" s="51"/>
    </row>
    <row r="194" spans="1:7" x14ac:dyDescent="0.45">
      <c r="A194" s="172" t="s">
        <v>102</v>
      </c>
      <c r="B194" s="173"/>
      <c r="C194" s="25" t="e">
        <f>SUM(C189:C193)</f>
        <v>#REF!</v>
      </c>
      <c r="D194" s="25">
        <f>SUM(D189:D193)</f>
        <v>0</v>
      </c>
      <c r="E194" s="25" t="e">
        <f>C194-D194</f>
        <v>#REF!</v>
      </c>
      <c r="F194" s="84"/>
      <c r="G194" s="104"/>
    </row>
    <row r="195" spans="1:7" ht="14.65" thickBot="1" x14ac:dyDescent="0.5"/>
    <row r="196" spans="1:7" ht="14.65" thickBot="1" x14ac:dyDescent="0.5">
      <c r="A196" s="95" t="s">
        <v>1</v>
      </c>
      <c r="B196" s="96"/>
      <c r="C196" s="97"/>
      <c r="D196" s="97"/>
      <c r="E196" s="97"/>
      <c r="F196" s="96"/>
      <c r="G196" s="105">
        <f>SUM(G10:G194)</f>
        <v>9262.084499999999</v>
      </c>
    </row>
  </sheetData>
  <dataConsolidate>
    <dataRefs count="1">
      <dataRef ref="A13" sheet="Détruire Suivi projet" r:id="rId1"/>
    </dataRefs>
  </dataConsolidate>
  <mergeCells count="44">
    <mergeCell ref="A39:E39"/>
    <mergeCell ref="A46:B46"/>
    <mergeCell ref="A21:E21"/>
    <mergeCell ref="A12:E12"/>
    <mergeCell ref="A19:B19"/>
    <mergeCell ref="A1:C1"/>
    <mergeCell ref="A2:C2"/>
    <mergeCell ref="A28:B28"/>
    <mergeCell ref="A30:E30"/>
    <mergeCell ref="A37:B37"/>
    <mergeCell ref="A3:C3"/>
    <mergeCell ref="A4:C4"/>
    <mergeCell ref="A5:C5"/>
    <mergeCell ref="A111:B111"/>
    <mergeCell ref="A113:E113"/>
    <mergeCell ref="A75:B75"/>
    <mergeCell ref="A84:B84"/>
    <mergeCell ref="A93:B93"/>
    <mergeCell ref="A95:E95"/>
    <mergeCell ref="A102:B102"/>
    <mergeCell ref="A187:E187"/>
    <mergeCell ref="A194:B194"/>
    <mergeCell ref="A160:E160"/>
    <mergeCell ref="A167:B167"/>
    <mergeCell ref="A169:E169"/>
    <mergeCell ref="A176:B176"/>
    <mergeCell ref="A178:E178"/>
    <mergeCell ref="A185:B185"/>
    <mergeCell ref="B6:C6"/>
    <mergeCell ref="B7:C7"/>
    <mergeCell ref="B8:C8"/>
    <mergeCell ref="A158:B158"/>
    <mergeCell ref="A120:B120"/>
    <mergeCell ref="A122:E122"/>
    <mergeCell ref="A129:B129"/>
    <mergeCell ref="A131:E131"/>
    <mergeCell ref="A138:B138"/>
    <mergeCell ref="A151:E151"/>
    <mergeCell ref="A140:E140"/>
    <mergeCell ref="A147:B147"/>
    <mergeCell ref="A48:E48"/>
    <mergeCell ref="A55:B55"/>
    <mergeCell ref="A66:B66"/>
    <mergeCell ref="A104:E104"/>
  </mergeCells>
  <conditionalFormatting sqref="E19">
    <cfRule type="cellIs" dxfId="59" priority="73" operator="lessThanOrEqual">
      <formula>0</formula>
    </cfRule>
    <cfRule type="cellIs" dxfId="58" priority="74" operator="greaterThanOrEqual">
      <formula>0</formula>
    </cfRule>
  </conditionalFormatting>
  <conditionalFormatting sqref="F19">
    <cfRule type="expression" dxfId="57" priority="72">
      <formula>#REF!&lt;=(#REF!*0.1)</formula>
    </cfRule>
  </conditionalFormatting>
  <conditionalFormatting sqref="E28">
    <cfRule type="cellIs" dxfId="56" priority="56" operator="lessThanOrEqual">
      <formula>0</formula>
    </cfRule>
    <cfRule type="cellIs" dxfId="55" priority="57" operator="greaterThanOrEqual">
      <formula>0</formula>
    </cfRule>
  </conditionalFormatting>
  <conditionalFormatting sqref="F28">
    <cfRule type="expression" dxfId="54" priority="55">
      <formula>#REF!&lt;=(#REF!*0.1)</formula>
    </cfRule>
  </conditionalFormatting>
  <conditionalFormatting sqref="E37">
    <cfRule type="cellIs" dxfId="53" priority="53" operator="lessThanOrEqual">
      <formula>0</formula>
    </cfRule>
    <cfRule type="cellIs" dxfId="52" priority="54" operator="greaterThanOrEqual">
      <formula>0</formula>
    </cfRule>
  </conditionalFormatting>
  <conditionalFormatting sqref="F37">
    <cfRule type="expression" dxfId="51" priority="52">
      <formula>#REF!&lt;=(#REF!*0.1)</formula>
    </cfRule>
  </conditionalFormatting>
  <conditionalFormatting sqref="E46">
    <cfRule type="cellIs" dxfId="50" priority="50" operator="lessThanOrEqual">
      <formula>0</formula>
    </cfRule>
    <cfRule type="cellIs" dxfId="49" priority="51" operator="greaterThanOrEqual">
      <formula>0</formula>
    </cfRule>
  </conditionalFormatting>
  <conditionalFormatting sqref="F46">
    <cfRule type="expression" dxfId="48" priority="49">
      <formula>#REF!&lt;=(#REF!*0.1)</formula>
    </cfRule>
  </conditionalFormatting>
  <conditionalFormatting sqref="E55">
    <cfRule type="cellIs" dxfId="47" priority="47" operator="lessThanOrEqual">
      <formula>0</formula>
    </cfRule>
    <cfRule type="cellIs" dxfId="46" priority="48" operator="greaterThanOrEqual">
      <formula>0</formula>
    </cfRule>
  </conditionalFormatting>
  <conditionalFormatting sqref="F55">
    <cfRule type="expression" dxfId="45" priority="46">
      <formula>#REF!&lt;=(#REF!*0.1)</formula>
    </cfRule>
  </conditionalFormatting>
  <conditionalFormatting sqref="E66">
    <cfRule type="cellIs" dxfId="44" priority="44" operator="lessThanOrEqual">
      <formula>0</formula>
    </cfRule>
    <cfRule type="cellIs" dxfId="43" priority="45" operator="greaterThanOrEqual">
      <formula>0</formula>
    </cfRule>
  </conditionalFormatting>
  <conditionalFormatting sqref="F66">
    <cfRule type="expression" dxfId="42" priority="43">
      <formula>#REF!&lt;=(#REF!*0.1)</formula>
    </cfRule>
  </conditionalFormatting>
  <conditionalFormatting sqref="E75">
    <cfRule type="cellIs" dxfId="41" priority="41" operator="lessThanOrEqual">
      <formula>0</formula>
    </cfRule>
    <cfRule type="cellIs" dxfId="40" priority="42" operator="greaterThanOrEqual">
      <formula>0</formula>
    </cfRule>
  </conditionalFormatting>
  <conditionalFormatting sqref="F75">
    <cfRule type="expression" dxfId="39" priority="40">
      <formula>#REF!&lt;=(#REF!*0.1)</formula>
    </cfRule>
  </conditionalFormatting>
  <conditionalFormatting sqref="E84">
    <cfRule type="cellIs" dxfId="38" priority="38" operator="lessThanOrEqual">
      <formula>0</formula>
    </cfRule>
    <cfRule type="cellIs" dxfId="37" priority="39" operator="greaterThanOrEqual">
      <formula>0</formula>
    </cfRule>
  </conditionalFormatting>
  <conditionalFormatting sqref="F84">
    <cfRule type="expression" dxfId="36" priority="37">
      <formula>#REF!&lt;=(#REF!*0.1)</formula>
    </cfRule>
  </conditionalFormatting>
  <conditionalFormatting sqref="E93">
    <cfRule type="cellIs" dxfId="35" priority="35" operator="lessThanOrEqual">
      <formula>0</formula>
    </cfRule>
    <cfRule type="cellIs" dxfId="34" priority="36" operator="greaterThanOrEqual">
      <formula>0</formula>
    </cfRule>
  </conditionalFormatting>
  <conditionalFormatting sqref="F93">
    <cfRule type="expression" dxfId="33" priority="34">
      <formula>#REF!&lt;=(#REF!*0.1)</formula>
    </cfRule>
  </conditionalFormatting>
  <conditionalFormatting sqref="E102">
    <cfRule type="cellIs" dxfId="32" priority="32" operator="lessThanOrEqual">
      <formula>0</formula>
    </cfRule>
    <cfRule type="cellIs" dxfId="31" priority="33" operator="greaterThanOrEqual">
      <formula>0</formula>
    </cfRule>
  </conditionalFormatting>
  <conditionalFormatting sqref="F102">
    <cfRule type="expression" dxfId="30" priority="31">
      <formula>#REF!&lt;=(#REF!*0.1)</formula>
    </cfRule>
  </conditionalFormatting>
  <conditionalFormatting sqref="E111">
    <cfRule type="cellIs" dxfId="29" priority="29" operator="lessThanOrEqual">
      <formula>0</formula>
    </cfRule>
    <cfRule type="cellIs" dxfId="28" priority="30" operator="greaterThanOrEqual">
      <formula>0</formula>
    </cfRule>
  </conditionalFormatting>
  <conditionalFormatting sqref="F111">
    <cfRule type="expression" dxfId="27" priority="28">
      <formula>#REF!&lt;=(#REF!*0.1)</formula>
    </cfRule>
  </conditionalFormatting>
  <conditionalFormatting sqref="E120">
    <cfRule type="cellIs" dxfId="26" priority="26" operator="lessThanOrEqual">
      <formula>0</formula>
    </cfRule>
    <cfRule type="cellIs" dxfId="25" priority="27" operator="greaterThanOrEqual">
      <formula>0</formula>
    </cfRule>
  </conditionalFormatting>
  <conditionalFormatting sqref="F120">
    <cfRule type="expression" dxfId="24" priority="25">
      <formula>#REF!&lt;=(#REF!*0.1)</formula>
    </cfRule>
  </conditionalFormatting>
  <conditionalFormatting sqref="E129">
    <cfRule type="cellIs" dxfId="23" priority="23" operator="lessThanOrEqual">
      <formula>0</formula>
    </cfRule>
    <cfRule type="cellIs" dxfId="22" priority="24" operator="greaterThanOrEqual">
      <formula>0</formula>
    </cfRule>
  </conditionalFormatting>
  <conditionalFormatting sqref="F129">
    <cfRule type="expression" dxfId="21" priority="22">
      <formula>#REF!&lt;=(#REF!*0.1)</formula>
    </cfRule>
  </conditionalFormatting>
  <conditionalFormatting sqref="E138">
    <cfRule type="cellIs" dxfId="20" priority="20" operator="lessThanOrEqual">
      <formula>0</formula>
    </cfRule>
    <cfRule type="cellIs" dxfId="19" priority="21" operator="greaterThanOrEqual">
      <formula>0</formula>
    </cfRule>
  </conditionalFormatting>
  <conditionalFormatting sqref="F138">
    <cfRule type="expression" dxfId="18" priority="19">
      <formula>#REF!&lt;=(#REF!*0.1)</formula>
    </cfRule>
  </conditionalFormatting>
  <conditionalFormatting sqref="E147">
    <cfRule type="cellIs" dxfId="17" priority="17" operator="lessThanOrEqual">
      <formula>0</formula>
    </cfRule>
    <cfRule type="cellIs" dxfId="16" priority="18" operator="greaterThanOrEqual">
      <formula>0</formula>
    </cfRule>
  </conditionalFormatting>
  <conditionalFormatting sqref="F147">
    <cfRule type="expression" dxfId="15" priority="16">
      <formula>#REF!&lt;=(#REF!*0.1)</formula>
    </cfRule>
  </conditionalFormatting>
  <conditionalFormatting sqref="E158">
    <cfRule type="cellIs" dxfId="14" priority="14" operator="lessThanOrEqual">
      <formula>0</formula>
    </cfRule>
    <cfRule type="cellIs" dxfId="13" priority="15" operator="greaterThanOrEqual">
      <formula>0</formula>
    </cfRule>
  </conditionalFormatting>
  <conditionalFormatting sqref="F158">
    <cfRule type="expression" dxfId="12" priority="13">
      <formula>#REF!&lt;=(#REF!*0.1)</formula>
    </cfRule>
  </conditionalFormatting>
  <conditionalFormatting sqref="E167">
    <cfRule type="cellIs" dxfId="11" priority="11" operator="lessThanOrEqual">
      <formula>0</formula>
    </cfRule>
    <cfRule type="cellIs" dxfId="10" priority="12" operator="greaterThanOrEqual">
      <formula>0</formula>
    </cfRule>
  </conditionalFormatting>
  <conditionalFormatting sqref="F167">
    <cfRule type="expression" dxfId="9" priority="10">
      <formula>#REF!&lt;=(#REF!*0.1)</formula>
    </cfRule>
  </conditionalFormatting>
  <conditionalFormatting sqref="E176">
    <cfRule type="cellIs" dxfId="8" priority="8" operator="lessThanOrEqual">
      <formula>0</formula>
    </cfRule>
    <cfRule type="cellIs" dxfId="7" priority="9" operator="greaterThanOrEqual">
      <formula>0</formula>
    </cfRule>
  </conditionalFormatting>
  <conditionalFormatting sqref="F176">
    <cfRule type="expression" dxfId="6" priority="7">
      <formula>#REF!&lt;=(#REF!*0.1)</formula>
    </cfRule>
  </conditionalFormatting>
  <conditionalFormatting sqref="E185">
    <cfRule type="cellIs" dxfId="5" priority="5" operator="lessThanOrEqual">
      <formula>0</formula>
    </cfRule>
    <cfRule type="cellIs" dxfId="4" priority="6" operator="greaterThanOrEqual">
      <formula>0</formula>
    </cfRule>
  </conditionalFormatting>
  <conditionalFormatting sqref="F185">
    <cfRule type="expression" dxfId="3" priority="4">
      <formula>#REF!&lt;=(#REF!*0.1)</formula>
    </cfRule>
  </conditionalFormatting>
  <conditionalFormatting sqref="E194">
    <cfRule type="cellIs" dxfId="2" priority="2" operator="lessThanOrEqual">
      <formula>0</formula>
    </cfRule>
    <cfRule type="cellIs" dxfId="1" priority="3" operator="greaterThanOrEqual">
      <formula>0</formula>
    </cfRule>
  </conditionalFormatting>
  <conditionalFormatting sqref="F194">
    <cfRule type="expression" dxfId="0" priority="1">
      <formula>#REF!&lt;=(#REF!*0.1)</formula>
    </cfRule>
  </conditionalFormatting>
  <pageMargins left="0.51181102362204722" right="0.51181102362204722" top="0.55118110236220474" bottom="0.55118110236220474" header="0.31496062992125984" footer="0.31496062992125984"/>
  <pageSetup scale="84" orientation="portrait" r:id="rId2"/>
  <headerFooter>
    <oddFooter>&amp;L&amp;8&amp;Z&amp;F&amp;R&amp;8&amp;P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0293B82C89E4D9EE8B01810F436C2" ma:contentTypeVersion="11" ma:contentTypeDescription="Create a new document." ma:contentTypeScope="" ma:versionID="c4c634aa15c86d39e22c642e869b6590">
  <xsd:schema xmlns:xsd="http://www.w3.org/2001/XMLSchema" xmlns:xs="http://www.w3.org/2001/XMLSchema" xmlns:p="http://schemas.microsoft.com/office/2006/metadata/properties" xmlns:ns3="43432226-df87-4d9e-adad-a671560a6f1c" xmlns:ns4="968950f3-fc74-4eda-8270-f873c72263cd" targetNamespace="http://schemas.microsoft.com/office/2006/metadata/properties" ma:root="true" ma:fieldsID="641d1ed7702cc780dbd790b0f2a9eda5" ns3:_="" ns4:_="">
    <xsd:import namespace="43432226-df87-4d9e-adad-a671560a6f1c"/>
    <xsd:import namespace="968950f3-fc74-4eda-8270-f873c72263c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32226-df87-4d9e-adad-a671560a6f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950f3-fc74-4eda-8270-f873c72263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E81A15-B6E6-4163-ADD5-62EF553389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93867F-B18A-4ED2-8356-6AB7A0C41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432226-df87-4d9e-adad-a671560a6f1c"/>
    <ds:schemaRef ds:uri="968950f3-fc74-4eda-8270-f873c72263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0236BE-F06D-40E8-860C-79E0FF3C7148}">
  <ds:schemaRefs>
    <ds:schemaRef ds:uri="http://purl.org/dc/dcmitype/"/>
    <ds:schemaRef ds:uri="43432226-df87-4d9e-adad-a671560a6f1c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68950f3-fc74-4eda-8270-f873c72263c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Parameters </vt:lpstr>
      <vt:lpstr>Budget Execution</vt:lpstr>
      <vt:lpstr>Monitoring execution budget  </vt:lpstr>
      <vt:lpstr>'Monitoring execution budget  '!Print_Titles</vt:lpstr>
      <vt:lpstr>Reponse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Madden</dc:creator>
  <cp:lastModifiedBy>Burton Wright (COMTL)</cp:lastModifiedBy>
  <cp:lastPrinted>2020-07-14T20:36:29Z</cp:lastPrinted>
  <dcterms:created xsi:type="dcterms:W3CDTF">2012-03-27T19:00:45Z</dcterms:created>
  <dcterms:modified xsi:type="dcterms:W3CDTF">2024-12-31T16:34:00Z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ContentTypeId">
    <vt:lpwstr>0x0101007550293B82C89E4D9EE8B01810F436C2</vt:lpwstr>
  </property>
</Properties>
</file>